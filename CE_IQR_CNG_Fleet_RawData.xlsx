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usuf Zayyad\Desktop\PFI\FOR GITHUB\"/>
    </mc:Choice>
  </mc:AlternateContent>
  <xr:revisionPtr revIDLastSave="0" documentId="13_ncr:1_{3D0DC489-68BC-44D8-89AD-B7F6EA7CE498}" xr6:coauthVersionLast="47" xr6:coauthVersionMax="47" xr10:uidLastSave="{00000000-0000-0000-0000-000000000000}"/>
  <bookViews>
    <workbookView xWindow="-120" yWindow="-120" windowWidth="20730" windowHeight="11040" tabRatio="500" firstSheet="5" activeTab="8" xr2:uid="{00000000-000D-0000-FFFF-FFFF00000000}"/>
  </bookViews>
  <sheets>
    <sheet name="README" sheetId="1" r:id="rId1"/>
    <sheet name="Segments" sheetId="2" r:id="rId2"/>
    <sheet name="Emission Factors" sheetId="3" r:id="rId3"/>
    <sheet name="Monthly Operations" sheetId="4" r:id="rId4"/>
    <sheet name="Emissions Calculation" sheetId="5" r:id="rId5"/>
    <sheet name="Financial Summary" sheetId="6" r:id="rId6"/>
    <sheet name="Sensitivity" sheetId="7" r:id="rId7"/>
    <sheet name="DFI Indicators" sheetId="8" r:id="rId8"/>
    <sheet name="Data Source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0" i="6" l="1"/>
  <c r="D9" i="6"/>
  <c r="D6" i="6"/>
  <c r="G17" i="4"/>
  <c r="D25" i="6" s="1"/>
  <c r="F17" i="4"/>
  <c r="D18" i="5" s="1"/>
  <c r="E17" i="4"/>
  <c r="D6" i="5" s="1"/>
  <c r="D17" i="4"/>
  <c r="D5" i="6" s="1"/>
  <c r="C17" i="4"/>
  <c r="D8" i="5" s="1"/>
  <c r="B17" i="4"/>
  <c r="D18" i="2"/>
  <c r="C18" i="2"/>
  <c r="E17" i="2"/>
  <c r="D30" i="6" s="1"/>
  <c r="D14" i="2"/>
  <c r="C14" i="2"/>
  <c r="E13" i="2"/>
  <c r="D13" i="2"/>
  <c r="C13" i="2"/>
  <c r="E6" i="2"/>
  <c r="D9" i="5" l="1"/>
  <c r="D11" i="5"/>
  <c r="D12" i="5" s="1"/>
  <c r="D13" i="5" s="1"/>
  <c r="D7" i="6"/>
  <c r="D8" i="6"/>
  <c r="D11" i="6" s="1"/>
  <c r="E14" i="2"/>
  <c r="C15" i="2"/>
  <c r="D15" i="2"/>
  <c r="D16" i="2" s="1"/>
  <c r="D5" i="5"/>
  <c r="D7" i="5" s="1"/>
  <c r="D29" i="6" l="1"/>
  <c r="D26" i="6"/>
  <c r="D27" i="6" s="1"/>
  <c r="D31" i="6"/>
  <c r="D23" i="5"/>
  <c r="D10" i="5"/>
  <c r="D14" i="5" s="1"/>
  <c r="D24" i="5"/>
  <c r="D25" i="5" s="1"/>
  <c r="E15" i="2"/>
  <c r="C16" i="2"/>
  <c r="E16" i="2" s="1"/>
  <c r="D37" i="6" l="1"/>
  <c r="D38" i="6" s="1"/>
  <c r="D39" i="6" s="1"/>
  <c r="D19" i="5"/>
  <c r="D20" i="5" s="1"/>
</calcChain>
</file>

<file path=xl/sharedStrings.xml><?xml version="1.0" encoding="utf-8"?>
<sst xmlns="http://schemas.openxmlformats.org/spreadsheetml/2006/main" count="352" uniqueCount="306">
  <si>
    <t>Every input and calculation behind the CircularEnergies CNG Fleet Conversion Impact Quantification Report</t>
  </si>
  <si>
    <t>Project</t>
  </si>
  <si>
    <t>Reporting period</t>
  </si>
  <si>
    <t>Scope</t>
  </si>
  <si>
    <t>40 vehicles: 28 bi-fuel petrol conversions + 12 diesel dual-fuel retrofits</t>
  </si>
  <si>
    <t>Route</t>
  </si>
  <si>
    <t>Report version</t>
  </si>
  <si>
    <t>Prepared by</t>
  </si>
  <si>
    <t>CircularEnergies Ltd, Abuja</t>
  </si>
  <si>
    <t>Report type</t>
  </si>
  <si>
    <t>Sample / demonstration</t>
  </si>
  <si>
    <t>Purpose of this file</t>
  </si>
  <si>
    <t>WHAT IS IN THIS WORKBOOK</t>
  </si>
  <si>
    <t>Segments</t>
  </si>
  <si>
    <t>Emission Factors</t>
  </si>
  <si>
    <t>Every factor and constant used in the calculation, with source and standard</t>
  </si>
  <si>
    <t>Monthly Operations</t>
  </si>
  <si>
    <t>12 months of reconciled operating data: distance, CNG, fuel displaced, tCO₂e, savings</t>
  </si>
  <si>
    <t>Emissions Calculation</t>
  </si>
  <si>
    <t>The full baseline → project → gross avoided → slip → net avoided chain</t>
  </si>
  <si>
    <t>Financial Summary</t>
  </si>
  <si>
    <t>Fuel cost avoided, CNG purchased, maintenance, cylinder reserve, net saving</t>
  </si>
  <si>
    <t>Sensitivity</t>
  </si>
  <si>
    <t>Net avoided emissions across a range of methane slip assumptions</t>
  </si>
  <si>
    <t>DFI Indicators</t>
  </si>
  <si>
    <t>Indicators populated for AfDB, IFC-CAFI, FCDO, PCNGi and Nigeria NDC frameworks</t>
  </si>
  <si>
    <t>Data Sources</t>
  </si>
  <si>
    <t>COLOUR CONVENTIONS</t>
  </si>
  <si>
    <t>Blue</t>
  </si>
  <si>
    <t>Input value or measured data</t>
  </si>
  <si>
    <t>Black</t>
  </si>
  <si>
    <t>Formula computed within the sheet</t>
  </si>
  <si>
    <t>Green</t>
  </si>
  <si>
    <t>Cross-sheet link</t>
  </si>
  <si>
    <t>Yellow fill</t>
  </si>
  <si>
    <t>Key parameter or headline result</t>
  </si>
  <si>
    <t>Meridian Logistics Nigeria Ltd is a fictional entity. All figures are simulated for demonstration purposes and must not be relied upon for investment, disclosure or compliance decisions. This workbook is released as a companion to the published sample IQR to demonstrate the calculation methodology, evidence chain and reporting structure CircularEnergies applies to impact quantification engagements.</t>
  </si>
  <si>
    <t>SEGMENT PARAMETERS</t>
  </si>
  <si>
    <t>The converted fleet comprises two technically distinct segments, each modelled separately.</t>
  </si>
  <si>
    <t>Parameter</t>
  </si>
  <si>
    <t>Unit</t>
  </si>
  <si>
    <t>Segment A — Bi-fuel</t>
  </si>
  <si>
    <t>Segment B — Dual-fuel</t>
  </si>
  <si>
    <t>Total / Note</t>
  </si>
  <si>
    <t>Vehicle class</t>
  </si>
  <si>
    <t>Light commercial vans and minibuses</t>
  </si>
  <si>
    <t>Rigid and articulated trucks</t>
  </si>
  <si>
    <t>Units converted</t>
  </si>
  <si>
    <t>vehicles</t>
  </si>
  <si>
    <t>Baseline fuel</t>
  </si>
  <si>
    <t>Petrol (PMS)</t>
  </si>
  <si>
    <t>Diesel (AGO)</t>
  </si>
  <si>
    <t>Conversion technology</t>
  </si>
  <si>
    <t>Sequential bi-fuel CNG kit</t>
  </si>
  <si>
    <t>Diesel dual-fuel retrofit</t>
  </si>
  <si>
    <t>Mean daily distance</t>
  </si>
  <si>
    <t>km</t>
  </si>
  <si>
    <t>Operating days per month</t>
  </si>
  <si>
    <t>days</t>
  </si>
  <si>
    <t>Baseline fuel economy</t>
  </si>
  <si>
    <t>km / litre</t>
  </si>
  <si>
    <t>Achieved substitution rate</t>
  </si>
  <si>
    <t>%</t>
  </si>
  <si>
    <t>Annual distance</t>
  </si>
  <si>
    <t>Baseline liquid fuel</t>
  </si>
  <si>
    <t>litres</t>
  </si>
  <si>
    <t>Liquid fuel displaced</t>
  </si>
  <si>
    <t>Residual liquid fuel</t>
  </si>
  <si>
    <t>Conversion capex</t>
  </si>
  <si>
    <t>₦</t>
  </si>
  <si>
    <t>Capex per vehicle</t>
  </si>
  <si>
    <t>EMISSION FACTORS AND CONSTANTS</t>
  </si>
  <si>
    <t>Every factor and standard applied in the report.</t>
  </si>
  <si>
    <t>Component</t>
  </si>
  <si>
    <t>Source / standard</t>
  </si>
  <si>
    <t>Value applied</t>
  </si>
  <si>
    <t>Petrol emission factor</t>
  </si>
  <si>
    <t>IPCC 2006 Guidelines, Vol. 2 Ch. 3, Tier 1</t>
  </si>
  <si>
    <t>kgCO₂ / L</t>
  </si>
  <si>
    <t>Diesel emission factor</t>
  </si>
  <si>
    <t>CNG emission factor</t>
  </si>
  <si>
    <t>IPCC 2006 Guidelines, natural gas</t>
  </si>
  <si>
    <t>kgCO₂ / kg</t>
  </si>
  <si>
    <t>CNG density</t>
  </si>
  <si>
    <t>Nigerian pipeline gas specification</t>
  </si>
  <si>
    <t>kg / SCM</t>
  </si>
  <si>
    <t>Petrol energy equivalence</t>
  </si>
  <si>
    <t>Lower heating value ratio</t>
  </si>
  <si>
    <t>1 kg CNG ≡ 1.50 L petrol</t>
  </si>
  <si>
    <t>kg → L</t>
  </si>
  <si>
    <t>Diesel energy equivalence</t>
  </si>
  <si>
    <t>1 kg CNG ≡ 1.30 L diesel</t>
  </si>
  <si>
    <t>Methane fraction in CNG</t>
  </si>
  <si>
    <t>Gas supplier composition certificate</t>
  </si>
  <si>
    <t>by mass</t>
  </si>
  <si>
    <t>Methane slip rate</t>
  </si>
  <si>
    <t>Conservative retrofit assumption</t>
  </si>
  <si>
    <t>of throughput</t>
  </si>
  <si>
    <t>Methane GWP (100-yr)</t>
  </si>
  <si>
    <t>IPCC AR5</t>
  </si>
  <si>
    <t>× CO₂</t>
  </si>
  <si>
    <t>Reporting protocol</t>
  </si>
  <si>
    <t>GHG Protocol Corporate Standard</t>
  </si>
  <si>
    <t>Scope 1 – mobile combustion</t>
  </si>
  <si>
    <t>Applicable methodology</t>
  </si>
  <si>
    <t>CDM AMS-III.S (Gold Standard, Article 6.4 transitionable)</t>
  </si>
  <si>
    <t>Low-emission vehicles and technologies to commercial vehicle fleets</t>
  </si>
  <si>
    <t>MONTHLY OPERATING DATA</t>
  </si>
  <si>
    <t>Twelve months of reconciled operating data. Seasonal variation reflects rainy-season haulage and Q4 volume.</t>
  </si>
  <si>
    <t>Month</t>
  </si>
  <si>
    <t>Distance (km)</t>
  </si>
  <si>
    <t>CNG (SCM)</t>
  </si>
  <si>
    <t>Petrol displaced (L)</t>
  </si>
  <si>
    <t>Diesel displaced (L)</t>
  </si>
  <si>
    <t>tCO₂e avoided</t>
  </si>
  <si>
    <t>Net saving (₦)</t>
  </si>
  <si>
    <t>Flag</t>
  </si>
  <si>
    <t>Jul 2025</t>
  </si>
  <si>
    <t>M1</t>
  </si>
  <si>
    <t>Aug 2025</t>
  </si>
  <si>
    <t>Sep 2025</t>
  </si>
  <si>
    <t>Oct 2025</t>
  </si>
  <si>
    <t>Nov 2025</t>
  </si>
  <si>
    <t>Dec 2025</t>
  </si>
  <si>
    <t>Jan 2026</t>
  </si>
  <si>
    <t>Feb 2026</t>
  </si>
  <si>
    <t>Mar 2026</t>
  </si>
  <si>
    <t>Apr 2026</t>
  </si>
  <si>
    <t>May 2026</t>
  </si>
  <si>
    <t>Jun 2026</t>
  </si>
  <si>
    <t>Notes</t>
  </si>
  <si>
    <t>EMISSIONS CALCULATION CHAIN</t>
  </si>
  <si>
    <t>Baseline → project → gross avoided → methane slip → net avoided. Every step referenced to source data.</t>
  </si>
  <si>
    <t>Step</t>
  </si>
  <si>
    <t>Source cells</t>
  </si>
  <si>
    <t>Calculation shown in report</t>
  </si>
  <si>
    <t>Result</t>
  </si>
  <si>
    <t>Baseline — petrol</t>
  </si>
  <si>
    <t>'Monthly Operations'!D17 × 'Emission Factors'!C5</t>
  </si>
  <si>
    <t>142,448 L × 2.31 kgCO₂/L</t>
  </si>
  <si>
    <t>tCO₂</t>
  </si>
  <si>
    <t>Baseline — diesel</t>
  </si>
  <si>
    <t>'Monthly Operations'!E17 × 'Emission Factors'!C6</t>
  </si>
  <si>
    <t>169,920 L × 2.68 kgCO₂/L</t>
  </si>
  <si>
    <t>Total baseline emissions</t>
  </si>
  <si>
    <t>Sum of the two</t>
  </si>
  <si>
    <t>Displaced fuel, counterfactual case</t>
  </si>
  <si>
    <t>CNG throughput — kg</t>
  </si>
  <si>
    <t>'Monthly Operations'!C17 × 'Emission Factors'!C8</t>
  </si>
  <si>
    <t>331,872 SCM × 0.68 kg/SCM</t>
  </si>
  <si>
    <t>kg</t>
  </si>
  <si>
    <t>Project — CNG combustion</t>
  </si>
  <si>
    <t>D8 × 'Emission Factors'!C7</t>
  </si>
  <si>
    <t>225,673 kg × 2.75 kgCO₂/kg</t>
  </si>
  <si>
    <t>Gross avoided — tank-to-wheel</t>
  </si>
  <si>
    <t>Baseline − Project</t>
  </si>
  <si>
    <t>784.44 − 620.60</t>
  </si>
  <si>
    <t>Methane throughput</t>
  </si>
  <si>
    <t>D8 × 'Emission Factors'!C11</t>
  </si>
  <si>
    <t>225,673 kg × 90% CH₄</t>
  </si>
  <si>
    <t>Methane slipped</t>
  </si>
  <si>
    <t>D11 × 'Emission Factors'!C12</t>
  </si>
  <si>
    <t>203,106 kg × 1.5%</t>
  </si>
  <si>
    <t>kg CH₄</t>
  </si>
  <si>
    <t>Slip in CO₂-equivalent</t>
  </si>
  <si>
    <t>D12 × 'Emission Factors'!C13</t>
  </si>
  <si>
    <t>3,047 kg × GWP 28</t>
  </si>
  <si>
    <t>tCO₂e</t>
  </si>
  <si>
    <t>NET AVOIDED EMISSIONS</t>
  </si>
  <si>
    <t>Gross − Slip</t>
  </si>
  <si>
    <t>163.84 − 85.30</t>
  </si>
  <si>
    <t>RECONCILIATION TO MONTHLY OPERATIONS</t>
  </si>
  <si>
    <t>Sum of monthly tCO₂e avoided</t>
  </si>
  <si>
    <t>Net avoided (calculated above)</t>
  </si>
  <si>
    <t>Difference (rounding)</t>
  </si>
  <si>
    <t>CARBON INTENSITY (VEHICLE-KM BASIS)</t>
  </si>
  <si>
    <t>kgCO₂e / km</t>
  </si>
  <si>
    <t>Fleet-wide intensity reduction</t>
  </si>
  <si>
    <t>FINANCIAL SUMMARY</t>
  </si>
  <si>
    <t>Twelve-month fuel cost avoided, less CNG purchased and incremental costs. All figures in naira.</t>
  </si>
  <si>
    <t>Line</t>
  </si>
  <si>
    <t>Basis</t>
  </si>
  <si>
    <t>Amount (₦)</t>
  </si>
  <si>
    <t>Petrol cost avoided</t>
  </si>
  <si>
    <t>Petrol displaced × price</t>
  </si>
  <si>
    <t>142,448 L × ₦1,050/L</t>
  </si>
  <si>
    <t>Diesel cost avoided</t>
  </si>
  <si>
    <t>Diesel displaced × price</t>
  </si>
  <si>
    <t>169,920 L × ₦1,350/L</t>
  </si>
  <si>
    <t>Gross fuel cost avoided</t>
  </si>
  <si>
    <t>Baseline liquid fuel spend</t>
  </si>
  <si>
    <t>Less: CNG purchased</t>
  </si>
  <si>
    <t>CNG volume × price</t>
  </si>
  <si>
    <t>331,872 SCM × ₦300/SCM</t>
  </si>
  <si>
    <t>Less: incremental maintenance</t>
  </si>
  <si>
    <t>Per vehicle × fleet</t>
  </si>
  <si>
    <t>₦180,000 × 40 vehicles</t>
  </si>
  <si>
    <t>Less: cylinder recertification reserve</t>
  </si>
  <si>
    <t>Accrual toward 3-year test cycle</t>
  </si>
  <si>
    <t>Programme provision</t>
  </si>
  <si>
    <t>NET FUEL COST SAVING</t>
  </si>
  <si>
    <t>71.0% of baseline spend</t>
  </si>
  <si>
    <t>Reported outcome</t>
  </si>
  <si>
    <t>Petrol price applied</t>
  </si>
  <si>
    <t>Diesel price applied</t>
  </si>
  <si>
    <t>CNG price applied</t>
  </si>
  <si>
    <t>Incremental maintenance per vehicle</t>
  </si>
  <si>
    <t>Cylinder recertification reserve</t>
  </si>
  <si>
    <t>RECONCILIATION AND KEY RATIOS</t>
  </si>
  <si>
    <t>Sum of monthly net saving</t>
  </si>
  <si>
    <t>Net saving (calculated above)</t>
  </si>
  <si>
    <t>Net saving as % of baseline fuel spend</t>
  </si>
  <si>
    <t>Programme conversion capex (from Segments)</t>
  </si>
  <si>
    <t>Payback period on net saving</t>
  </si>
  <si>
    <t>months</t>
  </si>
  <si>
    <t>CARBON MARKET VALUE (INDICATIVE)</t>
  </si>
  <si>
    <t>Voluntary carbon market price</t>
  </si>
  <si>
    <t>US$ / tCO₂e</t>
  </si>
  <si>
    <t>USD / NGN exchange rate</t>
  </si>
  <si>
    <t>₦ / US$</t>
  </si>
  <si>
    <t>Net avoided emissions</t>
  </si>
  <si>
    <t>Gross indicative carbon value</t>
  </si>
  <si>
    <t>As % of fuel cost saving</t>
  </si>
  <si>
    <t>Net avoided emissions across a range of methane slip assumptions. The 1.5% base case is the number reported.</t>
  </si>
  <si>
    <t>Methane slip assumption</t>
  </si>
  <si>
    <t>Description</t>
  </si>
  <si>
    <t>Net avoided (tCO₂e)</t>
  </si>
  <si>
    <t>Variance vs base case</t>
  </si>
  <si>
    <t>Best-in-class calibration</t>
  </si>
  <si>
    <t>Well-maintained retrofit</t>
  </si>
  <si>
    <t>Base case applied</t>
  </si>
  <si>
    <t>Poorly maintained fleet</t>
  </si>
  <si>
    <t>Upper literature bound</t>
  </si>
  <si>
    <t>Methane slip is the single highest-value refinement available to this programme. Direct exhaust measurement on a sample of vehicles would materially tighten this estimate. The upper literature bound of 3.0% turns the programme net-negative on avoided emissions even though it remains highly cash-positive. This asymmetry is why measured slip data — rather than a literature value — is worth commissioning before any carbon monetisation strategy is set.</t>
  </si>
  <si>
    <t>Indicators populated in the format required by the principal DFIs active in Nigerian transport lending.</t>
  </si>
  <si>
    <t>Institution</t>
  </si>
  <si>
    <t>Indicator</t>
  </si>
  <si>
    <t>Reported value</t>
  </si>
  <si>
    <t>African Development Bank</t>
  </si>
  <si>
    <t>Greenhouse gas emissions reduced</t>
  </si>
  <si>
    <t>tCO₂e / yr</t>
  </si>
  <si>
    <t>Private sector capital mobilised</t>
  </si>
  <si>
    <t>US$</t>
  </si>
  <si>
    <t>IFC – CAFI</t>
  </si>
  <si>
    <t>Annual GHG emissions avoided</t>
  </si>
  <si>
    <t>Climate finance eligible investment</t>
  </si>
  <si>
    <t>FCDO</t>
  </si>
  <si>
    <t>Number of assets converted to lower-carbon fuel</t>
  </si>
  <si>
    <t>Annual fuel cost saving to beneficiary</t>
  </si>
  <si>
    <t>Nigeria – PCNGi</t>
  </si>
  <si>
    <t>Vehicles converted under programme</t>
  </si>
  <si>
    <t>Litres of imported liquid fuel displaced</t>
  </si>
  <si>
    <t>Nigeria NDC</t>
  </si>
  <si>
    <t>Transport sector mitigation contribution</t>
  </si>
  <si>
    <t>Every indicator above is derived from the same underlying data set on Monthly Operations and Emissions Calculation. The USD-denominated figures are converted at ₦1,580/US$ — the period-average exchange rate applied on Financial Summary. Where an institution's template requires additional breakdown by sub-project, vehicle class or reporting period, the raw data supports it without recalculation.</t>
  </si>
  <si>
    <t>DATA SOURCES AND QUALITY CONTROLS</t>
  </si>
  <si>
    <t>Where each raw input came from and the reconciliation applied.</t>
  </si>
  <si>
    <t>Data category</t>
  </si>
  <si>
    <t>Primary source</t>
  </si>
  <si>
    <t>Reconciliation basis</t>
  </si>
  <si>
    <t>Variance tolerance</t>
  </si>
  <si>
    <t>Distance</t>
  </si>
  <si>
    <t>Vehicle telematics, monthly aggregation</t>
  </si>
  <si>
    <t>Cross-checked against dispatch records; per-vehicle exception review over ±2%</t>
  </si>
  <si>
    <t>±2%</t>
  </si>
  <si>
    <t>CNG purchased</t>
  </si>
  <si>
    <t>Station dispensing receipts</t>
  </si>
  <si>
    <t>Reconciled to fleet card statements, vehicle by vehicle, monthly</t>
  </si>
  <si>
    <t>±1.5%</t>
  </si>
  <si>
    <t>Liquid fuel purchased</t>
  </si>
  <si>
    <t>Fuel card transaction data</t>
  </si>
  <si>
    <t>Matched to vehicle registration; anomalies flagged for driver review</t>
  </si>
  <si>
    <t>±1%</t>
  </si>
  <si>
    <t>Fuel displacement</t>
  </si>
  <si>
    <t>Derived from measured CNG consumption</t>
  </si>
  <si>
    <t>Applied energy equivalence then validated against 12-month pre-conversion baseline decline in liquid fuel purchases</t>
  </si>
  <si>
    <t>±5%</t>
  </si>
  <si>
    <t>Emission factors</t>
  </si>
  <si>
    <t>IPCC 2006 Guidelines, Vol. 2, Ch. 3, Tier 1</t>
  </si>
  <si>
    <t>Published values; no in-house adjustment</t>
  </si>
  <si>
    <t>n/a</t>
  </si>
  <si>
    <t>Methane slip</t>
  </si>
  <si>
    <t>Conservative literature retrofit assumption</t>
  </si>
  <si>
    <t>Applied uniformly at 1.5%; sensitised across 0.5%–3.0% range</t>
  </si>
  <si>
    <t>See Sensitivity tab</t>
  </si>
  <si>
    <t>Fuel prices</t>
  </si>
  <si>
    <t>NNPCL retail postings and station receipts</t>
  </si>
  <si>
    <t>Period-average prices applied; monthly variation available on request</t>
  </si>
  <si>
    <t>Exchange rate</t>
  </si>
  <si>
    <t>CBN period-average window rate</t>
  </si>
  <si>
    <t>Applied uniformly to all USD-denominated indicators</t>
  </si>
  <si>
    <t>This report has been prepared by CircularEnergies as an independent third party using data supplied by the client. It has NOT been subjected to external limited or reasonable assurance under ISAE 3410. Where a lender or investor requires assured figures, this data structure is designed to support an assurance engagement without restructuring — each cell traces back to a primary source named on this tab.</t>
  </si>
  <si>
    <t>IQR SAMPLE - RAW DATA</t>
  </si>
  <si>
    <t>CNG Fleet Conversion - Meridian Logistics Nigeria Ltd (fictional)</t>
  </si>
  <si>
    <t>July 2025 - June 2026</t>
  </si>
  <si>
    <t>Lagos - Ibadan - Abuja</t>
  </si>
  <si>
    <t>August 2026 v1.0 - Final</t>
  </si>
  <si>
    <t>Companion raw data to the published IQR - every figure in the report is traceable to a cell here</t>
  </si>
  <si>
    <t>The two technical segments - bi-fuel and dual-fuel - with all vehicle-level parameters</t>
  </si>
  <si>
    <t>Where each input came from - telematics, dispensing records, fuel cards</t>
  </si>
  <si>
    <t>Flag M1 (data quality - measurement note): dispensing station receipts reconciled to fleet card statements. Where a station's paper record and the card statement disagreed by more than 2% in the month, both records are retained in the raw operating log and the reconciled figure applied here uses the fleet card number as primary unless the dispatch record supports the station figure. This affected M1 (Jul 2025) through M6 (Dec 2025); the programme moved to fully digital dispensing from Jan 2026 and the flag no longer applies from that month.</t>
  </si>
  <si>
    <t>TOTAL - 12 months</t>
  </si>
  <si>
    <t>Baseline - liquid fuel only</t>
  </si>
  <si>
    <t>Post-conversion - net of methane slip</t>
  </si>
  <si>
    <t>SENSITIVITY - NET AVOIDED EMISSIONS</t>
  </si>
  <si>
    <t>DFI RESULTS FRAMEWORK - POPULATED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</si>
</sst>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0%\);\-"/>
    <numFmt numFmtId="167" formatCode="\₦#,##0;&quot;(₦&quot;#,##0\);\-"/>
  </numFmts>
  <fonts count="13" x14ac:knownFonts="1">
    <font>
      <sz val="11"/>
      <color theme="1"/>
      <name val="Calibri"/>
      <family val="2"/>
      <charset val="1"/>
    </font>
    <font>
      <b/>
      <sz val="16"/>
      <color rgb="FF1F5C3A"/>
      <name val="Arial"/>
      <charset val="1"/>
    </font>
    <font>
      <sz val="11"/>
      <color rgb="FF595959"/>
      <name val="Arial"/>
      <charset val="1"/>
    </font>
    <font>
      <b/>
      <sz val="10"/>
      <name val="Arial"/>
      <charset val="1"/>
    </font>
    <font>
      <sz val="10"/>
      <name val="Arial"/>
      <charset val="1"/>
    </font>
    <font>
      <b/>
      <sz val="11"/>
      <color rgb="FF1F5C3A"/>
      <name val="Arial"/>
      <charset val="1"/>
    </font>
    <font>
      <b/>
      <sz val="10"/>
      <color rgb="FF1F5C3A"/>
      <name val="Arial"/>
      <charset val="1"/>
    </font>
    <font>
      <i/>
      <sz val="9"/>
      <color rgb="FF595959"/>
      <name val="Arial"/>
      <charset val="1"/>
    </font>
    <font>
      <b/>
      <sz val="10"/>
      <color rgb="FFFFFFFF"/>
      <name val="Arial"/>
      <charset val="1"/>
    </font>
    <font>
      <i/>
      <sz val="8"/>
      <color rgb="FF808080"/>
      <name val="Arial"/>
      <charset val="1"/>
    </font>
    <font>
      <sz val="10"/>
      <color rgb="FF0000FF"/>
      <name val="Arial"/>
      <charset val="1"/>
    </font>
    <font>
      <sz val="9"/>
      <name val="Arial"/>
      <charset val="1"/>
    </font>
    <font>
      <sz val="10"/>
      <color rgb="FF008000"/>
      <name val="Arial"/>
      <charset val="1"/>
    </font>
  </fonts>
  <fills count="6">
    <fill>
      <patternFill patternType="none"/>
    </fill>
    <fill>
      <patternFill patternType="gray125"/>
    </fill>
    <fill>
      <patternFill patternType="solid">
        <fgColor rgb="FF35855A"/>
        <bgColor rgb="FF008080"/>
      </patternFill>
    </fill>
    <fill>
      <patternFill patternType="solid">
        <fgColor rgb="FFF2F2F2"/>
        <bgColor rgb="FFFFFFFF"/>
      </patternFill>
    </fill>
    <fill>
      <patternFill patternType="solid">
        <fgColor rgb="FFFFFF00"/>
        <bgColor rgb="FFFFFF00"/>
      </patternFill>
    </fill>
    <fill>
      <patternFill patternType="solid">
        <fgColor rgb="FF1F5C3A"/>
        <bgColor rgb="FF59595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6">
    <xf numFmtId="0" fontId="0" fillId="0" borderId="0" xfId="0"/>
    <xf numFmtId="0" fontId="7"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2" borderId="1" xfId="0" applyFont="1" applyFill="1" applyBorder="1" applyAlignment="1">
      <alignment horizontal="center" vertical="center" wrapText="1"/>
    </xf>
    <xf numFmtId="0" fontId="9" fillId="0" borderId="0" xfId="0" applyFont="1"/>
    <xf numFmtId="0" fontId="4" fillId="0" borderId="1" xfId="0" applyFont="1" applyBorder="1" applyAlignment="1">
      <alignment horizontal="center"/>
    </xf>
    <xf numFmtId="164" fontId="10" fillId="0" borderId="1" xfId="0" applyNumberFormat="1" applyFont="1" applyBorder="1" applyAlignment="1">
      <alignment horizontal="center"/>
    </xf>
    <xf numFmtId="164" fontId="4" fillId="3" borderId="1" xfId="0" applyNumberFormat="1" applyFont="1" applyFill="1" applyBorder="1" applyAlignment="1">
      <alignment horizontal="center"/>
    </xf>
    <xf numFmtId="165" fontId="10" fillId="0" borderId="1" xfId="0" applyNumberFormat="1" applyFont="1" applyBorder="1" applyAlignment="1">
      <alignment horizontal="center"/>
    </xf>
    <xf numFmtId="166" fontId="10" fillId="0" borderId="1" xfId="0" applyNumberFormat="1" applyFont="1" applyBorder="1" applyAlignment="1">
      <alignment horizontal="center"/>
    </xf>
    <xf numFmtId="164" fontId="4" fillId="0" borderId="1" xfId="0" applyNumberFormat="1" applyFont="1" applyBorder="1" applyAlignment="1">
      <alignment horizontal="center"/>
    </xf>
    <xf numFmtId="167" fontId="10" fillId="0" borderId="1" xfId="0" applyNumberFormat="1" applyFont="1" applyBorder="1" applyAlignment="1">
      <alignment horizontal="center"/>
    </xf>
    <xf numFmtId="167" fontId="4" fillId="3" borderId="1" xfId="0" applyNumberFormat="1" applyFont="1" applyFill="1" applyBorder="1" applyAlignment="1">
      <alignment horizontal="center"/>
    </xf>
    <xf numFmtId="167" fontId="4" fillId="0" borderId="1" xfId="0" applyNumberFormat="1" applyFont="1" applyBorder="1" applyAlignment="1">
      <alignment horizont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165" fontId="10"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6" fontId="10" fillId="0" borderId="1" xfId="0" applyNumberFormat="1" applyFont="1" applyBorder="1" applyAlignment="1">
      <alignment horizontal="center" vertical="center" wrapText="1"/>
    </xf>
    <xf numFmtId="0" fontId="3" fillId="0" borderId="1" xfId="0" applyFont="1" applyBorder="1"/>
    <xf numFmtId="164" fontId="10" fillId="0" borderId="1" xfId="0" applyNumberFormat="1" applyFont="1" applyBorder="1" applyAlignment="1">
      <alignment horizontal="right"/>
    </xf>
    <xf numFmtId="165" fontId="10" fillId="0" borderId="1" xfId="0" applyNumberFormat="1" applyFont="1" applyBorder="1" applyAlignment="1">
      <alignment horizontal="right"/>
    </xf>
    <xf numFmtId="167" fontId="10" fillId="0" borderId="1" xfId="0" applyNumberFormat="1" applyFont="1" applyBorder="1" applyAlignment="1">
      <alignment horizontal="right"/>
    </xf>
    <xf numFmtId="0" fontId="9" fillId="0" borderId="1" xfId="0" applyFont="1" applyBorder="1" applyAlignment="1">
      <alignment horizontal="center"/>
    </xf>
    <xf numFmtId="164" fontId="3" fillId="4" borderId="1" xfId="0" applyNumberFormat="1" applyFont="1" applyFill="1" applyBorder="1" applyAlignment="1">
      <alignment horizontal="right"/>
    </xf>
    <xf numFmtId="165" fontId="3" fillId="4" borderId="1" xfId="0" applyNumberFormat="1" applyFont="1" applyFill="1" applyBorder="1" applyAlignment="1">
      <alignment horizontal="right"/>
    </xf>
    <xf numFmtId="167" fontId="3" fillId="4" borderId="1" xfId="0" applyNumberFormat="1" applyFont="1" applyFill="1" applyBorder="1" applyAlignment="1">
      <alignment horizontal="right"/>
    </xf>
    <xf numFmtId="0" fontId="9" fillId="0" borderId="1" xfId="0" applyFont="1" applyBorder="1"/>
    <xf numFmtId="0" fontId="11" fillId="0" borderId="1" xfId="0" applyFont="1" applyBorder="1"/>
    <xf numFmtId="165" fontId="3" fillId="0" borderId="1" xfId="0" applyNumberFormat="1" applyFont="1" applyBorder="1" applyAlignment="1">
      <alignment horizontal="right"/>
    </xf>
    <xf numFmtId="0" fontId="9" fillId="0" borderId="0" xfId="0" applyFont="1" applyAlignment="1">
      <alignment horizontal="center"/>
    </xf>
    <xf numFmtId="0" fontId="8" fillId="5" borderId="0" xfId="0" applyFont="1" applyFill="1"/>
    <xf numFmtId="165" fontId="12" fillId="0" borderId="1" xfId="0" applyNumberFormat="1" applyFont="1" applyBorder="1"/>
    <xf numFmtId="165" fontId="3" fillId="0" borderId="1" xfId="0" applyNumberFormat="1" applyFont="1" applyBorder="1"/>
    <xf numFmtId="165" fontId="4" fillId="0" borderId="1" xfId="0" applyNumberFormat="1" applyFont="1" applyBorder="1"/>
    <xf numFmtId="166" fontId="3" fillId="4" borderId="1" xfId="0" applyNumberFormat="1" applyFont="1" applyFill="1" applyBorder="1"/>
    <xf numFmtId="0" fontId="4" fillId="0" borderId="1" xfId="0" applyFont="1" applyBorder="1"/>
    <xf numFmtId="167" fontId="4" fillId="0" borderId="1" xfId="0" applyNumberFormat="1" applyFont="1" applyBorder="1" applyAlignment="1">
      <alignment horizontal="right"/>
    </xf>
    <xf numFmtId="167" fontId="3" fillId="0" borderId="1" xfId="0" applyNumberFormat="1" applyFont="1" applyBorder="1" applyAlignment="1">
      <alignment horizontal="right"/>
    </xf>
    <xf numFmtId="167" fontId="10" fillId="0" borderId="1" xfId="0" applyNumberFormat="1" applyFont="1" applyBorder="1"/>
    <xf numFmtId="167" fontId="12" fillId="0" borderId="1" xfId="0" applyNumberFormat="1" applyFont="1" applyBorder="1"/>
    <xf numFmtId="167" fontId="4" fillId="0" borderId="1" xfId="0" applyNumberFormat="1" applyFont="1" applyBorder="1"/>
    <xf numFmtId="165" fontId="3" fillId="4" borderId="1" xfId="0" applyNumberFormat="1" applyFont="1" applyFill="1" applyBorder="1"/>
    <xf numFmtId="165" fontId="10" fillId="0" borderId="1" xfId="0" applyNumberFormat="1" applyFont="1" applyBorder="1"/>
    <xf numFmtId="164" fontId="10" fillId="0" borderId="1" xfId="0" applyNumberFormat="1" applyFont="1" applyBorder="1"/>
    <xf numFmtId="167" fontId="3" fillId="4" borderId="1" xfId="0" applyNumberFormat="1" applyFont="1" applyFill="1" applyBorder="1"/>
    <xf numFmtId="166" fontId="3" fillId="0" borderId="1" xfId="0" applyNumberFormat="1" applyFont="1" applyBorder="1"/>
    <xf numFmtId="165" fontId="4" fillId="0" borderId="1" xfId="0" applyNumberFormat="1" applyFont="1" applyBorder="1" applyAlignment="1">
      <alignment horizontal="right"/>
    </xf>
    <xf numFmtId="166" fontId="4" fillId="0" borderId="1" xfId="0" applyNumberFormat="1" applyFont="1" applyBorder="1" applyAlignment="1">
      <alignment horizontal="right"/>
    </xf>
    <xf numFmtId="166" fontId="3" fillId="0" borderId="1" xfId="0" applyNumberFormat="1" applyFont="1" applyBorder="1" applyAlignment="1">
      <alignment horizontal="right"/>
    </xf>
    <xf numFmtId="0" fontId="11"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5855A"/>
      <rgbColor rgb="FF003300"/>
      <rgbColor rgb="FF333300"/>
      <rgbColor rgb="FF993300"/>
      <rgbColor rgb="FF993366"/>
      <rgbColor rgb="FF333399"/>
      <rgbColor rgb="FF1F5C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5C3A"/>
  </sheetPr>
  <dimension ref="B2:F34"/>
  <sheetViews>
    <sheetView showGridLines="0" topLeftCell="A16" zoomScaleNormal="100" workbookViewId="0">
      <selection activeCell="C22" sqref="C22"/>
    </sheetView>
  </sheetViews>
  <sheetFormatPr defaultColWidth="8.7109375" defaultRowHeight="15" x14ac:dyDescent="0.25"/>
  <cols>
    <col min="1" max="1" width="2" customWidth="1"/>
    <col min="2" max="2" width="26" customWidth="1"/>
    <col min="3" max="6" width="22" customWidth="1"/>
  </cols>
  <sheetData>
    <row r="2" spans="2:3" ht="20.25" x14ac:dyDescent="0.3">
      <c r="B2" s="2" t="s">
        <v>292</v>
      </c>
    </row>
    <row r="3" spans="2:3" x14ac:dyDescent="0.25">
      <c r="B3" s="3" t="s">
        <v>0</v>
      </c>
    </row>
    <row r="5" spans="2:3" x14ac:dyDescent="0.25">
      <c r="B5" s="4" t="s">
        <v>1</v>
      </c>
      <c r="C5" s="5" t="s">
        <v>293</v>
      </c>
    </row>
    <row r="6" spans="2:3" x14ac:dyDescent="0.25">
      <c r="B6" s="4" t="s">
        <v>2</v>
      </c>
      <c r="C6" s="5" t="s">
        <v>294</v>
      </c>
    </row>
    <row r="7" spans="2:3" x14ac:dyDescent="0.25">
      <c r="B7" s="4" t="s">
        <v>3</v>
      </c>
      <c r="C7" s="5" t="s">
        <v>4</v>
      </c>
    </row>
    <row r="8" spans="2:3" x14ac:dyDescent="0.25">
      <c r="B8" s="4" t="s">
        <v>5</v>
      </c>
      <c r="C8" s="5" t="s">
        <v>295</v>
      </c>
    </row>
    <row r="9" spans="2:3" x14ac:dyDescent="0.25">
      <c r="B9" s="4" t="s">
        <v>6</v>
      </c>
      <c r="C9" s="5" t="s">
        <v>296</v>
      </c>
    </row>
    <row r="10" spans="2:3" x14ac:dyDescent="0.25">
      <c r="B10" s="4" t="s">
        <v>7</v>
      </c>
      <c r="C10" s="5" t="s">
        <v>8</v>
      </c>
    </row>
    <row r="11" spans="2:3" x14ac:dyDescent="0.25">
      <c r="B11" s="4" t="s">
        <v>9</v>
      </c>
      <c r="C11" s="5" t="s">
        <v>10</v>
      </c>
    </row>
    <row r="12" spans="2:3" x14ac:dyDescent="0.25">
      <c r="B12" s="4" t="s">
        <v>11</v>
      </c>
      <c r="C12" s="5" t="s">
        <v>297</v>
      </c>
    </row>
    <row r="14" spans="2:3" x14ac:dyDescent="0.25">
      <c r="B14" s="6" t="s">
        <v>12</v>
      </c>
    </row>
    <row r="15" spans="2:3" x14ac:dyDescent="0.25">
      <c r="B15" s="7" t="s">
        <v>13</v>
      </c>
      <c r="C15" s="5" t="s">
        <v>298</v>
      </c>
    </row>
    <row r="16" spans="2:3" x14ac:dyDescent="0.25">
      <c r="B16" s="7" t="s">
        <v>14</v>
      </c>
      <c r="C16" s="5" t="s">
        <v>15</v>
      </c>
    </row>
    <row r="17" spans="2:6" x14ac:dyDescent="0.25">
      <c r="B17" s="7" t="s">
        <v>16</v>
      </c>
      <c r="C17" s="5" t="s">
        <v>17</v>
      </c>
    </row>
    <row r="18" spans="2:6" x14ac:dyDescent="0.25">
      <c r="B18" s="7" t="s">
        <v>18</v>
      </c>
      <c r="C18" s="5" t="s">
        <v>19</v>
      </c>
    </row>
    <row r="19" spans="2:6" x14ac:dyDescent="0.25">
      <c r="B19" s="7" t="s">
        <v>20</v>
      </c>
      <c r="C19" s="5" t="s">
        <v>21</v>
      </c>
    </row>
    <row r="20" spans="2:6" x14ac:dyDescent="0.25">
      <c r="B20" s="7" t="s">
        <v>22</v>
      </c>
      <c r="C20" s="5" t="s">
        <v>23</v>
      </c>
    </row>
    <row r="21" spans="2:6" x14ac:dyDescent="0.25">
      <c r="B21" s="7" t="s">
        <v>24</v>
      </c>
      <c r="C21" s="5" t="s">
        <v>25</v>
      </c>
    </row>
    <row r="22" spans="2:6" x14ac:dyDescent="0.25">
      <c r="B22" s="7" t="s">
        <v>26</v>
      </c>
      <c r="C22" s="5" t="s">
        <v>299</v>
      </c>
    </row>
    <row r="24" spans="2:6" x14ac:dyDescent="0.25">
      <c r="B24" s="4" t="s">
        <v>27</v>
      </c>
    </row>
    <row r="25" spans="2:6" x14ac:dyDescent="0.25">
      <c r="B25" s="4" t="s">
        <v>28</v>
      </c>
      <c r="C25" s="5" t="s">
        <v>29</v>
      </c>
    </row>
    <row r="26" spans="2:6" x14ac:dyDescent="0.25">
      <c r="B26" s="4" t="s">
        <v>30</v>
      </c>
      <c r="C26" s="5" t="s">
        <v>31</v>
      </c>
    </row>
    <row r="27" spans="2:6" x14ac:dyDescent="0.25">
      <c r="B27" s="4" t="s">
        <v>32</v>
      </c>
      <c r="C27" s="5" t="s">
        <v>33</v>
      </c>
    </row>
    <row r="28" spans="2:6" x14ac:dyDescent="0.25">
      <c r="B28" s="4" t="s">
        <v>34</v>
      </c>
      <c r="C28" s="5" t="s">
        <v>35</v>
      </c>
    </row>
    <row r="30" spans="2:6" ht="15" customHeight="1" x14ac:dyDescent="0.25">
      <c r="B30" s="1" t="s">
        <v>36</v>
      </c>
      <c r="C30" s="1"/>
      <c r="D30" s="1"/>
      <c r="E30" s="1"/>
      <c r="F30" s="1"/>
    </row>
    <row r="31" spans="2:6" x14ac:dyDescent="0.25">
      <c r="B31" s="1"/>
      <c r="C31" s="1"/>
      <c r="D31" s="1"/>
      <c r="E31" s="1"/>
      <c r="F31" s="1"/>
    </row>
    <row r="32" spans="2:6" x14ac:dyDescent="0.25">
      <c r="B32" s="1"/>
      <c r="C32" s="1"/>
      <c r="D32" s="1"/>
      <c r="E32" s="1"/>
      <c r="F32" s="1"/>
    </row>
    <row r="33" spans="2:6" x14ac:dyDescent="0.25">
      <c r="B33" s="1"/>
      <c r="C33" s="1"/>
      <c r="D33" s="1"/>
      <c r="E33" s="1"/>
      <c r="F33" s="1"/>
    </row>
    <row r="34" spans="2:6" x14ac:dyDescent="0.25">
      <c r="B34" s="1"/>
      <c r="C34" s="1"/>
      <c r="D34" s="1"/>
      <c r="E34" s="1"/>
      <c r="F34" s="1"/>
    </row>
  </sheetData>
  <mergeCells count="1">
    <mergeCell ref="B30:F3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5C3A"/>
  </sheetPr>
  <dimension ref="A1:E18"/>
  <sheetViews>
    <sheetView showGridLines="0" topLeftCell="A15" zoomScaleNormal="100" workbookViewId="0"/>
  </sheetViews>
  <sheetFormatPr defaultColWidth="8.7109375" defaultRowHeight="15" x14ac:dyDescent="0.25"/>
  <cols>
    <col min="1" max="1" width="32" customWidth="1"/>
    <col min="2" max="2" width="14" customWidth="1"/>
    <col min="3" max="4" width="32" customWidth="1"/>
    <col min="5" max="5" width="20" customWidth="1"/>
  </cols>
  <sheetData>
    <row r="1" spans="1:5" ht="20.25" x14ac:dyDescent="0.3">
      <c r="A1" s="2" t="s">
        <v>37</v>
      </c>
    </row>
    <row r="2" spans="1:5" x14ac:dyDescent="0.25">
      <c r="A2" s="3" t="s">
        <v>38</v>
      </c>
    </row>
    <row r="4" spans="1:5" ht="31.5" customHeight="1" x14ac:dyDescent="0.25">
      <c r="A4" s="8" t="s">
        <v>39</v>
      </c>
      <c r="B4" s="8" t="s">
        <v>40</v>
      </c>
      <c r="C4" s="8" t="s">
        <v>41</v>
      </c>
      <c r="D4" s="8" t="s">
        <v>42</v>
      </c>
      <c r="E4" s="8" t="s">
        <v>43</v>
      </c>
    </row>
    <row r="5" spans="1:5" x14ac:dyDescent="0.25">
      <c r="A5" s="5" t="s">
        <v>44</v>
      </c>
      <c r="B5" s="9"/>
      <c r="C5" s="10" t="s">
        <v>45</v>
      </c>
      <c r="D5" s="10" t="s">
        <v>46</v>
      </c>
      <c r="E5" s="10"/>
    </row>
    <row r="6" spans="1:5" x14ac:dyDescent="0.25">
      <c r="A6" s="5" t="s">
        <v>47</v>
      </c>
      <c r="B6" s="9" t="s">
        <v>48</v>
      </c>
      <c r="C6" s="11">
        <v>28</v>
      </c>
      <c r="D6" s="11">
        <v>12</v>
      </c>
      <c r="E6" s="12">
        <f>C6+D6</f>
        <v>40</v>
      </c>
    </row>
    <row r="7" spans="1:5" x14ac:dyDescent="0.25">
      <c r="A7" s="5" t="s">
        <v>49</v>
      </c>
      <c r="B7" s="9"/>
      <c r="C7" s="10" t="s">
        <v>50</v>
      </c>
      <c r="D7" s="10" t="s">
        <v>51</v>
      </c>
      <c r="E7" s="10"/>
    </row>
    <row r="8" spans="1:5" x14ac:dyDescent="0.25">
      <c r="A8" s="5" t="s">
        <v>52</v>
      </c>
      <c r="B8" s="9"/>
      <c r="C8" s="10" t="s">
        <v>53</v>
      </c>
      <c r="D8" s="10" t="s">
        <v>54</v>
      </c>
      <c r="E8" s="10"/>
    </row>
    <row r="9" spans="1:5" x14ac:dyDescent="0.25">
      <c r="A9" s="5" t="s">
        <v>55</v>
      </c>
      <c r="B9" s="9" t="s">
        <v>56</v>
      </c>
      <c r="C9" s="11">
        <v>165</v>
      </c>
      <c r="D9" s="11">
        <v>295</v>
      </c>
      <c r="E9" s="10"/>
    </row>
    <row r="10" spans="1:5" x14ac:dyDescent="0.25">
      <c r="A10" s="5" t="s">
        <v>57</v>
      </c>
      <c r="B10" s="9" t="s">
        <v>58</v>
      </c>
      <c r="C10" s="11">
        <v>26</v>
      </c>
      <c r="D10" s="11">
        <v>24</v>
      </c>
      <c r="E10" s="10"/>
    </row>
    <row r="11" spans="1:5" x14ac:dyDescent="0.25">
      <c r="A11" s="5" t="s">
        <v>59</v>
      </c>
      <c r="B11" s="9" t="s">
        <v>60</v>
      </c>
      <c r="C11" s="13">
        <v>8.5</v>
      </c>
      <c r="D11" s="13">
        <v>3.3</v>
      </c>
      <c r="E11" s="10"/>
    </row>
    <row r="12" spans="1:5" x14ac:dyDescent="0.25">
      <c r="A12" s="5" t="s">
        <v>61</v>
      </c>
      <c r="B12" s="9" t="s">
        <v>62</v>
      </c>
      <c r="C12" s="14">
        <v>0.84</v>
      </c>
      <c r="D12" s="14">
        <v>0.55000000000000004</v>
      </c>
      <c r="E12" s="10"/>
    </row>
    <row r="13" spans="1:5" x14ac:dyDescent="0.25">
      <c r="A13" s="4" t="s">
        <v>63</v>
      </c>
      <c r="B13" s="9" t="s">
        <v>56</v>
      </c>
      <c r="C13" s="15">
        <f>C6*C9*C10*12</f>
        <v>1441440</v>
      </c>
      <c r="D13" s="15">
        <f>D6*D9*D10*12</f>
        <v>1019520</v>
      </c>
      <c r="E13" s="12">
        <f>C13+D13</f>
        <v>2460960</v>
      </c>
    </row>
    <row r="14" spans="1:5" x14ac:dyDescent="0.25">
      <c r="A14" s="5" t="s">
        <v>64</v>
      </c>
      <c r="B14" s="9" t="s">
        <v>65</v>
      </c>
      <c r="C14" s="15">
        <f>C13/C11</f>
        <v>169581.17647058822</v>
      </c>
      <c r="D14" s="15">
        <f>D13/D11</f>
        <v>308945.45454545459</v>
      </c>
      <c r="E14" s="12">
        <f>C14+D14</f>
        <v>478526.63101604278</v>
      </c>
    </row>
    <row r="15" spans="1:5" x14ac:dyDescent="0.25">
      <c r="A15" s="4" t="s">
        <v>66</v>
      </c>
      <c r="B15" s="9" t="s">
        <v>65</v>
      </c>
      <c r="C15" s="15">
        <f>C14*C12</f>
        <v>142448.1882352941</v>
      </c>
      <c r="D15" s="15">
        <f>D14*D12</f>
        <v>169920.00000000003</v>
      </c>
      <c r="E15" s="12">
        <f>C15+D15</f>
        <v>312368.18823529413</v>
      </c>
    </row>
    <row r="16" spans="1:5" x14ac:dyDescent="0.25">
      <c r="A16" s="5" t="s">
        <v>67</v>
      </c>
      <c r="B16" s="9" t="s">
        <v>65</v>
      </c>
      <c r="C16" s="15">
        <f>C14-C15</f>
        <v>27132.98823529412</v>
      </c>
      <c r="D16" s="15">
        <f>D14-D15</f>
        <v>139025.45454545456</v>
      </c>
      <c r="E16" s="12">
        <f>C16+D16</f>
        <v>166158.44278074868</v>
      </c>
    </row>
    <row r="17" spans="1:5" x14ac:dyDescent="0.25">
      <c r="A17" s="4" t="s">
        <v>68</v>
      </c>
      <c r="B17" s="9" t="s">
        <v>69</v>
      </c>
      <c r="C17" s="16">
        <v>23800000</v>
      </c>
      <c r="D17" s="16">
        <v>50400000</v>
      </c>
      <c r="E17" s="17">
        <f>C17+D17</f>
        <v>74200000</v>
      </c>
    </row>
    <row r="18" spans="1:5" x14ac:dyDescent="0.25">
      <c r="A18" s="5" t="s">
        <v>70</v>
      </c>
      <c r="B18" s="9" t="s">
        <v>69</v>
      </c>
      <c r="C18" s="18">
        <f>C17/C6</f>
        <v>850000</v>
      </c>
      <c r="D18" s="18">
        <f>D17/D6</f>
        <v>4200000</v>
      </c>
      <c r="E18" s="10"/>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5C3A"/>
  </sheetPr>
  <dimension ref="A1:D15"/>
  <sheetViews>
    <sheetView showGridLines="0" topLeftCell="A11" zoomScaleNormal="100" workbookViewId="0"/>
  </sheetViews>
  <sheetFormatPr defaultColWidth="8.7109375" defaultRowHeight="15" x14ac:dyDescent="0.25"/>
  <cols>
    <col min="1" max="1" width="30" customWidth="1"/>
    <col min="2" max="2" width="46" customWidth="1"/>
    <col min="3" max="3" width="32" customWidth="1"/>
    <col min="4" max="4" width="18" customWidth="1"/>
  </cols>
  <sheetData>
    <row r="1" spans="1:4" ht="20.25" x14ac:dyDescent="0.3">
      <c r="A1" s="2" t="s">
        <v>71</v>
      </c>
    </row>
    <row r="2" spans="1:4" x14ac:dyDescent="0.25">
      <c r="A2" s="3" t="s">
        <v>72</v>
      </c>
    </row>
    <row r="4" spans="1:4" ht="31.5" customHeight="1" x14ac:dyDescent="0.25">
      <c r="A4" s="8" t="s">
        <v>73</v>
      </c>
      <c r="B4" s="8" t="s">
        <v>74</v>
      </c>
      <c r="C4" s="8" t="s">
        <v>75</v>
      </c>
      <c r="D4" s="8" t="s">
        <v>40</v>
      </c>
    </row>
    <row r="5" spans="1:4" ht="25.5" customHeight="1" x14ac:dyDescent="0.25">
      <c r="A5" s="19" t="s">
        <v>76</v>
      </c>
      <c r="B5" s="20" t="s">
        <v>77</v>
      </c>
      <c r="C5" s="21">
        <v>2.31</v>
      </c>
      <c r="D5" s="22" t="s">
        <v>78</v>
      </c>
    </row>
    <row r="6" spans="1:4" ht="25.5" customHeight="1" x14ac:dyDescent="0.25">
      <c r="A6" s="19" t="s">
        <v>79</v>
      </c>
      <c r="B6" s="20" t="s">
        <v>77</v>
      </c>
      <c r="C6" s="21">
        <v>2.68</v>
      </c>
      <c r="D6" s="22" t="s">
        <v>78</v>
      </c>
    </row>
    <row r="7" spans="1:4" ht="25.5" customHeight="1" x14ac:dyDescent="0.25">
      <c r="A7" s="19" t="s">
        <v>80</v>
      </c>
      <c r="B7" s="20" t="s">
        <v>81</v>
      </c>
      <c r="C7" s="21">
        <v>2.75</v>
      </c>
      <c r="D7" s="22" t="s">
        <v>82</v>
      </c>
    </row>
    <row r="8" spans="1:4" ht="25.5" customHeight="1" x14ac:dyDescent="0.25">
      <c r="A8" s="19" t="s">
        <v>83</v>
      </c>
      <c r="B8" s="20" t="s">
        <v>84</v>
      </c>
      <c r="C8" s="21">
        <v>0.68</v>
      </c>
      <c r="D8" s="22" t="s">
        <v>85</v>
      </c>
    </row>
    <row r="9" spans="1:4" ht="25.5" customHeight="1" x14ac:dyDescent="0.25">
      <c r="A9" s="19" t="s">
        <v>86</v>
      </c>
      <c r="B9" s="20" t="s">
        <v>87</v>
      </c>
      <c r="C9" s="22" t="s">
        <v>88</v>
      </c>
      <c r="D9" s="22" t="s">
        <v>89</v>
      </c>
    </row>
    <row r="10" spans="1:4" ht="25.5" customHeight="1" x14ac:dyDescent="0.25">
      <c r="A10" s="19" t="s">
        <v>90</v>
      </c>
      <c r="B10" s="20" t="s">
        <v>87</v>
      </c>
      <c r="C10" s="22" t="s">
        <v>91</v>
      </c>
      <c r="D10" s="22" t="s">
        <v>89</v>
      </c>
    </row>
    <row r="11" spans="1:4" ht="25.5" customHeight="1" x14ac:dyDescent="0.25">
      <c r="A11" s="19" t="s">
        <v>92</v>
      </c>
      <c r="B11" s="20" t="s">
        <v>93</v>
      </c>
      <c r="C11" s="23">
        <v>0.9</v>
      </c>
      <c r="D11" s="22" t="s">
        <v>94</v>
      </c>
    </row>
    <row r="12" spans="1:4" ht="25.5" customHeight="1" x14ac:dyDescent="0.25">
      <c r="A12" s="19" t="s">
        <v>95</v>
      </c>
      <c r="B12" s="20" t="s">
        <v>96</v>
      </c>
      <c r="C12" s="23">
        <v>1.4999999999999999E-2</v>
      </c>
      <c r="D12" s="22" t="s">
        <v>97</v>
      </c>
    </row>
    <row r="13" spans="1:4" ht="25.5" customHeight="1" x14ac:dyDescent="0.25">
      <c r="A13" s="19" t="s">
        <v>98</v>
      </c>
      <c r="B13" s="20" t="s">
        <v>99</v>
      </c>
      <c r="C13" s="21">
        <v>28</v>
      </c>
      <c r="D13" s="22" t="s">
        <v>100</v>
      </c>
    </row>
    <row r="14" spans="1:4" ht="25.5" customHeight="1" x14ac:dyDescent="0.25">
      <c r="A14" s="19" t="s">
        <v>101</v>
      </c>
      <c r="B14" s="20" t="s">
        <v>102</v>
      </c>
      <c r="C14" s="22" t="s">
        <v>103</v>
      </c>
      <c r="D14" s="22"/>
    </row>
    <row r="15" spans="1:4" ht="25.5" customHeight="1" x14ac:dyDescent="0.25">
      <c r="A15" s="19" t="s">
        <v>104</v>
      </c>
      <c r="B15" s="20" t="s">
        <v>105</v>
      </c>
      <c r="C15" s="22" t="s">
        <v>106</v>
      </c>
      <c r="D15" s="22"/>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5C3A"/>
  </sheetPr>
  <dimension ref="A1:H24"/>
  <sheetViews>
    <sheetView showGridLines="0" zoomScaleNormal="100" workbookViewId="0">
      <selection activeCell="A18" sqref="A18"/>
    </sheetView>
  </sheetViews>
  <sheetFormatPr defaultColWidth="8.7109375" defaultRowHeight="15" x14ac:dyDescent="0.25"/>
  <cols>
    <col min="1" max="1" width="17.5703125" customWidth="1"/>
    <col min="2" max="8" width="18" customWidth="1"/>
  </cols>
  <sheetData>
    <row r="1" spans="1:8" ht="20.25" x14ac:dyDescent="0.3">
      <c r="A1" s="2" t="s">
        <v>107</v>
      </c>
    </row>
    <row r="2" spans="1:8" x14ac:dyDescent="0.25">
      <c r="A2" s="3" t="s">
        <v>108</v>
      </c>
    </row>
    <row r="4" spans="1:8" ht="43.5" customHeight="1" x14ac:dyDescent="0.25">
      <c r="A4" s="8" t="s">
        <v>109</v>
      </c>
      <c r="B4" s="8" t="s">
        <v>110</v>
      </c>
      <c r="C4" s="8" t="s">
        <v>111</v>
      </c>
      <c r="D4" s="8" t="s">
        <v>112</v>
      </c>
      <c r="E4" s="8" t="s">
        <v>113</v>
      </c>
      <c r="F4" s="8" t="s">
        <v>114</v>
      </c>
      <c r="G4" s="8" t="s">
        <v>115</v>
      </c>
      <c r="H4" s="8" t="s">
        <v>116</v>
      </c>
    </row>
    <row r="5" spans="1:8" x14ac:dyDescent="0.25">
      <c r="A5" s="24" t="s">
        <v>117</v>
      </c>
      <c r="B5" s="25">
        <v>201799</v>
      </c>
      <c r="C5" s="25">
        <v>27214</v>
      </c>
      <c r="D5" s="25">
        <v>11681</v>
      </c>
      <c r="E5" s="25">
        <v>13933</v>
      </c>
      <c r="F5" s="26">
        <v>6.44</v>
      </c>
      <c r="G5" s="27">
        <v>22058075</v>
      </c>
      <c r="H5" s="28" t="s">
        <v>118</v>
      </c>
    </row>
    <row r="6" spans="1:8" x14ac:dyDescent="0.25">
      <c r="A6" s="24" t="s">
        <v>119</v>
      </c>
      <c r="B6" s="25">
        <v>194416</v>
      </c>
      <c r="C6" s="25">
        <v>26218</v>
      </c>
      <c r="D6" s="25">
        <v>11253</v>
      </c>
      <c r="E6" s="25">
        <v>13424</v>
      </c>
      <c r="F6" s="26">
        <v>6.2</v>
      </c>
      <c r="G6" s="27">
        <v>21251072</v>
      </c>
      <c r="H6" s="28" t="s">
        <v>118</v>
      </c>
    </row>
    <row r="7" spans="1:8" x14ac:dyDescent="0.25">
      <c r="A7" s="24" t="s">
        <v>120</v>
      </c>
      <c r="B7" s="25">
        <v>211643</v>
      </c>
      <c r="C7" s="25">
        <v>28541</v>
      </c>
      <c r="D7" s="25">
        <v>12251</v>
      </c>
      <c r="E7" s="25">
        <v>14613</v>
      </c>
      <c r="F7" s="26">
        <v>6.75</v>
      </c>
      <c r="G7" s="27">
        <v>23134079</v>
      </c>
      <c r="H7" s="28" t="s">
        <v>118</v>
      </c>
    </row>
    <row r="8" spans="1:8" x14ac:dyDescent="0.25">
      <c r="A8" s="24" t="s">
        <v>121</v>
      </c>
      <c r="B8" s="25">
        <v>206721</v>
      </c>
      <c r="C8" s="25">
        <v>27877</v>
      </c>
      <c r="D8" s="25">
        <v>11966</v>
      </c>
      <c r="E8" s="25">
        <v>14273</v>
      </c>
      <c r="F8" s="26">
        <v>6.6</v>
      </c>
      <c r="G8" s="27">
        <v>22596077</v>
      </c>
      <c r="H8" s="28" t="s">
        <v>118</v>
      </c>
    </row>
    <row r="9" spans="1:8" x14ac:dyDescent="0.25">
      <c r="A9" s="24" t="s">
        <v>122</v>
      </c>
      <c r="B9" s="25">
        <v>214104</v>
      </c>
      <c r="C9" s="25">
        <v>28873</v>
      </c>
      <c r="D9" s="25">
        <v>12393</v>
      </c>
      <c r="E9" s="25">
        <v>14783</v>
      </c>
      <c r="F9" s="26">
        <v>6.83</v>
      </c>
      <c r="G9" s="27">
        <v>23403079</v>
      </c>
      <c r="H9" s="28" t="s">
        <v>118</v>
      </c>
    </row>
    <row r="10" spans="1:8" x14ac:dyDescent="0.25">
      <c r="A10" s="24" t="s">
        <v>123</v>
      </c>
      <c r="B10" s="25">
        <v>194416</v>
      </c>
      <c r="C10" s="25">
        <v>26218</v>
      </c>
      <c r="D10" s="25">
        <v>11253</v>
      </c>
      <c r="E10" s="25">
        <v>13424</v>
      </c>
      <c r="F10" s="26">
        <v>6.2</v>
      </c>
      <c r="G10" s="27">
        <v>21251072</v>
      </c>
      <c r="H10" s="28" t="s">
        <v>118</v>
      </c>
    </row>
    <row r="11" spans="1:8" x14ac:dyDescent="0.25">
      <c r="A11" s="24" t="s">
        <v>124</v>
      </c>
      <c r="B11" s="25">
        <v>184572</v>
      </c>
      <c r="C11" s="25">
        <v>24890</v>
      </c>
      <c r="D11" s="25">
        <v>10684</v>
      </c>
      <c r="E11" s="25">
        <v>12744</v>
      </c>
      <c r="F11" s="26">
        <v>5.89</v>
      </c>
      <c r="G11" s="27">
        <v>20175068</v>
      </c>
      <c r="H11" s="28" t="s">
        <v>118</v>
      </c>
    </row>
    <row r="12" spans="1:8" x14ac:dyDescent="0.25">
      <c r="A12" s="24" t="s">
        <v>125</v>
      </c>
      <c r="B12" s="25">
        <v>189494</v>
      </c>
      <c r="C12" s="25">
        <v>25554</v>
      </c>
      <c r="D12" s="25">
        <v>10969</v>
      </c>
      <c r="E12" s="25">
        <v>13084</v>
      </c>
      <c r="F12" s="26">
        <v>6.05</v>
      </c>
      <c r="G12" s="27">
        <v>20713070</v>
      </c>
      <c r="H12" s="28" t="s">
        <v>118</v>
      </c>
    </row>
    <row r="13" spans="1:8" x14ac:dyDescent="0.25">
      <c r="A13" s="24" t="s">
        <v>126</v>
      </c>
      <c r="B13" s="25">
        <v>206721</v>
      </c>
      <c r="C13" s="25">
        <v>27877</v>
      </c>
      <c r="D13" s="25">
        <v>11966</v>
      </c>
      <c r="E13" s="25">
        <v>14273</v>
      </c>
      <c r="F13" s="26">
        <v>6.6</v>
      </c>
      <c r="G13" s="27">
        <v>22596077</v>
      </c>
      <c r="H13" s="28" t="s">
        <v>118</v>
      </c>
    </row>
    <row r="14" spans="1:8" x14ac:dyDescent="0.25">
      <c r="A14" s="24" t="s">
        <v>127</v>
      </c>
      <c r="B14" s="25">
        <v>216564</v>
      </c>
      <c r="C14" s="25">
        <v>29205</v>
      </c>
      <c r="D14" s="25">
        <v>12535</v>
      </c>
      <c r="E14" s="25">
        <v>14953</v>
      </c>
      <c r="F14" s="26">
        <v>6.91</v>
      </c>
      <c r="G14" s="27">
        <v>23672080</v>
      </c>
      <c r="H14" s="28" t="s">
        <v>118</v>
      </c>
    </row>
    <row r="15" spans="1:8" x14ac:dyDescent="0.25">
      <c r="A15" s="24" t="s">
        <v>128</v>
      </c>
      <c r="B15" s="25">
        <v>226408</v>
      </c>
      <c r="C15" s="25">
        <v>30532</v>
      </c>
      <c r="D15" s="25">
        <v>13105</v>
      </c>
      <c r="E15" s="25">
        <v>15633</v>
      </c>
      <c r="F15" s="26">
        <v>7.23</v>
      </c>
      <c r="G15" s="27">
        <v>24748084</v>
      </c>
      <c r="H15" s="28" t="s">
        <v>118</v>
      </c>
    </row>
    <row r="16" spans="1:8" x14ac:dyDescent="0.25">
      <c r="A16" s="24" t="s">
        <v>129</v>
      </c>
      <c r="B16" s="25">
        <v>214104</v>
      </c>
      <c r="C16" s="25">
        <v>28873</v>
      </c>
      <c r="D16" s="25">
        <v>12393</v>
      </c>
      <c r="E16" s="25">
        <v>14783</v>
      </c>
      <c r="F16" s="26">
        <v>6.83</v>
      </c>
      <c r="G16" s="27">
        <v>23403079</v>
      </c>
      <c r="H16" s="28" t="s">
        <v>118</v>
      </c>
    </row>
    <row r="17" spans="1:8" x14ac:dyDescent="0.25">
      <c r="A17" s="4" t="s">
        <v>301</v>
      </c>
      <c r="B17" s="29">
        <f t="shared" ref="B17:G17" si="0">SUM(B5:B16)</f>
        <v>2460962</v>
      </c>
      <c r="C17" s="29">
        <f t="shared" si="0"/>
        <v>331872</v>
      </c>
      <c r="D17" s="29">
        <f t="shared" si="0"/>
        <v>142449</v>
      </c>
      <c r="E17" s="29">
        <f t="shared" si="0"/>
        <v>169920</v>
      </c>
      <c r="F17" s="30">
        <f t="shared" si="0"/>
        <v>78.53</v>
      </c>
      <c r="G17" s="31">
        <f t="shared" si="0"/>
        <v>269000912</v>
      </c>
    </row>
    <row r="19" spans="1:8" x14ac:dyDescent="0.25">
      <c r="A19" s="4" t="s">
        <v>130</v>
      </c>
    </row>
    <row r="20" spans="1:8" ht="15" customHeight="1" x14ac:dyDescent="0.25">
      <c r="A20" s="1" t="s">
        <v>300</v>
      </c>
      <c r="B20" s="1"/>
      <c r="C20" s="1"/>
      <c r="D20" s="1"/>
      <c r="E20" s="1"/>
      <c r="F20" s="1"/>
      <c r="G20" s="1"/>
      <c r="H20" s="1"/>
    </row>
    <row r="21" spans="1:8" x14ac:dyDescent="0.25">
      <c r="A21" s="1"/>
      <c r="B21" s="1"/>
      <c r="C21" s="1"/>
      <c r="D21" s="1"/>
      <c r="E21" s="1"/>
      <c r="F21" s="1"/>
      <c r="G21" s="1"/>
      <c r="H21" s="1"/>
    </row>
    <row r="22" spans="1:8" x14ac:dyDescent="0.25">
      <c r="A22" s="1"/>
      <c r="B22" s="1"/>
      <c r="C22" s="1"/>
      <c r="D22" s="1"/>
      <c r="E22" s="1"/>
      <c r="F22" s="1"/>
      <c r="G22" s="1"/>
      <c r="H22" s="1"/>
    </row>
    <row r="23" spans="1:8" x14ac:dyDescent="0.25">
      <c r="A23" s="1"/>
      <c r="B23" s="1"/>
      <c r="C23" s="1"/>
      <c r="D23" s="1"/>
      <c r="E23" s="1"/>
      <c r="F23" s="1"/>
      <c r="G23" s="1"/>
      <c r="H23" s="1"/>
    </row>
    <row r="24" spans="1:8" x14ac:dyDescent="0.25">
      <c r="A24" s="1"/>
      <c r="B24" s="1"/>
      <c r="C24" s="1"/>
      <c r="D24" s="1"/>
      <c r="E24" s="1"/>
      <c r="F24" s="1"/>
      <c r="G24" s="1"/>
      <c r="H24" s="1"/>
    </row>
  </sheetData>
  <mergeCells count="1">
    <mergeCell ref="A20:H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5C3A"/>
  </sheetPr>
  <dimension ref="A1:E25"/>
  <sheetViews>
    <sheetView showGridLines="0" zoomScaleNormal="100" workbookViewId="0">
      <selection activeCell="J21" sqref="J21"/>
    </sheetView>
  </sheetViews>
  <sheetFormatPr defaultColWidth="8.7109375" defaultRowHeight="15" x14ac:dyDescent="0.25"/>
  <cols>
    <col min="1" max="1" width="40" customWidth="1"/>
    <col min="2" max="2" width="22" customWidth="1"/>
    <col min="3" max="3" width="42" customWidth="1"/>
    <col min="4" max="4" width="16" customWidth="1"/>
    <col min="5" max="5" width="14" customWidth="1"/>
  </cols>
  <sheetData>
    <row r="1" spans="1:5" ht="20.25" x14ac:dyDescent="0.3">
      <c r="A1" s="2" t="s">
        <v>131</v>
      </c>
    </row>
    <row r="2" spans="1:5" x14ac:dyDescent="0.25">
      <c r="A2" s="3" t="s">
        <v>132</v>
      </c>
    </row>
    <row r="4" spans="1:5" ht="36" customHeight="1" x14ac:dyDescent="0.25">
      <c r="A4" s="8" t="s">
        <v>133</v>
      </c>
      <c r="B4" s="8" t="s">
        <v>134</v>
      </c>
      <c r="C4" s="8" t="s">
        <v>135</v>
      </c>
      <c r="D4" s="8" t="s">
        <v>136</v>
      </c>
      <c r="E4" s="8" t="s">
        <v>40</v>
      </c>
    </row>
    <row r="5" spans="1:5" x14ac:dyDescent="0.25">
      <c r="A5" s="24" t="s">
        <v>137</v>
      </c>
      <c r="B5" s="32" t="s">
        <v>138</v>
      </c>
      <c r="C5" s="33" t="s">
        <v>139</v>
      </c>
      <c r="D5" s="34">
        <f>'Monthly Operations'!$D$17*'Emission Factors'!$C$5/1000</f>
        <v>329.05718999999999</v>
      </c>
      <c r="E5" s="35" t="s">
        <v>140</v>
      </c>
    </row>
    <row r="6" spans="1:5" x14ac:dyDescent="0.25">
      <c r="A6" s="24" t="s">
        <v>141</v>
      </c>
      <c r="B6" s="32" t="s">
        <v>142</v>
      </c>
      <c r="C6" s="33" t="s">
        <v>143</v>
      </c>
      <c r="D6" s="34">
        <f>'Monthly Operations'!$E$17*'Emission Factors'!$C$6/1000</f>
        <v>455.38560000000001</v>
      </c>
      <c r="E6" s="35" t="s">
        <v>140</v>
      </c>
    </row>
    <row r="7" spans="1:5" x14ac:dyDescent="0.25">
      <c r="A7" s="24" t="s">
        <v>144</v>
      </c>
      <c r="B7" s="32" t="s">
        <v>145</v>
      </c>
      <c r="C7" s="33" t="s">
        <v>146</v>
      </c>
      <c r="D7" s="30">
        <f>D5+D6</f>
        <v>784.44279000000006</v>
      </c>
      <c r="E7" s="35" t="s">
        <v>140</v>
      </c>
    </row>
    <row r="8" spans="1:5" x14ac:dyDescent="0.25">
      <c r="A8" s="24" t="s">
        <v>147</v>
      </c>
      <c r="B8" s="32" t="s">
        <v>148</v>
      </c>
      <c r="C8" s="33" t="s">
        <v>149</v>
      </c>
      <c r="D8" s="34">
        <f>'Monthly Operations'!$C$17*'Emission Factors'!$C$8</f>
        <v>225672.96000000002</v>
      </c>
      <c r="E8" s="35" t="s">
        <v>150</v>
      </c>
    </row>
    <row r="9" spans="1:5" x14ac:dyDescent="0.25">
      <c r="A9" s="24" t="s">
        <v>151</v>
      </c>
      <c r="B9" s="32" t="s">
        <v>152</v>
      </c>
      <c r="C9" s="33" t="s">
        <v>153</v>
      </c>
      <c r="D9" s="34">
        <f>D8*'Emission Factors'!$C$7/1000</f>
        <v>620.60064</v>
      </c>
      <c r="E9" s="35" t="s">
        <v>140</v>
      </c>
    </row>
    <row r="10" spans="1:5" x14ac:dyDescent="0.25">
      <c r="A10" s="24" t="s">
        <v>154</v>
      </c>
      <c r="B10" s="32" t="s">
        <v>155</v>
      </c>
      <c r="C10" s="33" t="s">
        <v>156</v>
      </c>
      <c r="D10" s="30">
        <f>D7-D9</f>
        <v>163.84215000000006</v>
      </c>
      <c r="E10" s="35" t="s">
        <v>140</v>
      </c>
    </row>
    <row r="11" spans="1:5" x14ac:dyDescent="0.25">
      <c r="A11" s="24" t="s">
        <v>157</v>
      </c>
      <c r="B11" s="32" t="s">
        <v>158</v>
      </c>
      <c r="C11" s="33" t="s">
        <v>159</v>
      </c>
      <c r="D11" s="34">
        <f>D8*'Emission Factors'!$C$11</f>
        <v>203105.66400000002</v>
      </c>
      <c r="E11" s="35" t="s">
        <v>150</v>
      </c>
    </row>
    <row r="12" spans="1:5" x14ac:dyDescent="0.25">
      <c r="A12" s="24" t="s">
        <v>160</v>
      </c>
      <c r="B12" s="32" t="s">
        <v>161</v>
      </c>
      <c r="C12" s="33" t="s">
        <v>162</v>
      </c>
      <c r="D12" s="34">
        <f>D11*'Emission Factors'!$C$12</f>
        <v>3046.5849600000001</v>
      </c>
      <c r="E12" s="35" t="s">
        <v>163</v>
      </c>
    </row>
    <row r="13" spans="1:5" x14ac:dyDescent="0.25">
      <c r="A13" s="24" t="s">
        <v>164</v>
      </c>
      <c r="B13" s="32" t="s">
        <v>165</v>
      </c>
      <c r="C13" s="33" t="s">
        <v>166</v>
      </c>
      <c r="D13" s="34">
        <f>D12*'Emission Factors'!$C$13/1000</f>
        <v>85.304378880000002</v>
      </c>
      <c r="E13" s="35" t="s">
        <v>167</v>
      </c>
    </row>
    <row r="14" spans="1:5" x14ac:dyDescent="0.25">
      <c r="A14" s="24" t="s">
        <v>168</v>
      </c>
      <c r="B14" s="32" t="s">
        <v>169</v>
      </c>
      <c r="C14" s="33" t="s">
        <v>170</v>
      </c>
      <c r="D14" s="30">
        <f>D10-D13</f>
        <v>78.537771120000059</v>
      </c>
      <c r="E14" s="35" t="s">
        <v>167</v>
      </c>
    </row>
    <row r="17" spans="1:5" x14ac:dyDescent="0.25">
      <c r="A17" s="36" t="s">
        <v>171</v>
      </c>
      <c r="B17" s="36"/>
      <c r="C17" s="36"/>
      <c r="D17" s="36"/>
      <c r="E17" s="36"/>
    </row>
    <row r="18" spans="1:5" x14ac:dyDescent="0.25">
      <c r="A18" s="4" t="s">
        <v>172</v>
      </c>
      <c r="D18" s="37">
        <f>'Monthly Operations'!F17</f>
        <v>78.53</v>
      </c>
    </row>
    <row r="19" spans="1:5" x14ac:dyDescent="0.25">
      <c r="A19" s="4" t="s">
        <v>173</v>
      </c>
      <c r="D19" s="37">
        <f>D14</f>
        <v>78.537771120000059</v>
      </c>
    </row>
    <row r="20" spans="1:5" x14ac:dyDescent="0.25">
      <c r="A20" s="4" t="s">
        <v>174</v>
      </c>
      <c r="D20" s="38">
        <f>D18-D19</f>
        <v>-7.7711200000578629E-3</v>
      </c>
    </row>
    <row r="22" spans="1:5" x14ac:dyDescent="0.25">
      <c r="A22" s="36" t="s">
        <v>175</v>
      </c>
      <c r="B22" s="36"/>
      <c r="C22" s="36"/>
      <c r="D22" s="36"/>
      <c r="E22" s="36"/>
    </row>
    <row r="23" spans="1:5" x14ac:dyDescent="0.25">
      <c r="A23" s="4" t="s">
        <v>302</v>
      </c>
      <c r="D23" s="39">
        <f>D7*1000/'Monthly Operations'!$B$17</f>
        <v>0.3187545317644076</v>
      </c>
      <c r="E23" s="9" t="s">
        <v>176</v>
      </c>
    </row>
    <row r="24" spans="1:5" x14ac:dyDescent="0.25">
      <c r="A24" s="4" t="s">
        <v>303</v>
      </c>
      <c r="D24" s="39">
        <f>(D9+D13)*1000/'Monthly Operations'!$B$17</f>
        <v>0.28684108851741719</v>
      </c>
      <c r="E24" s="9" t="s">
        <v>176</v>
      </c>
    </row>
    <row r="25" spans="1:5" x14ac:dyDescent="0.25">
      <c r="A25" s="4" t="s">
        <v>177</v>
      </c>
      <c r="D25" s="40">
        <f>1-D24/D23</f>
        <v>0.10011918284059951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5C3A"/>
  </sheetPr>
  <dimension ref="A1:E39"/>
  <sheetViews>
    <sheetView showGridLines="0" zoomScaleNormal="100" workbookViewId="0"/>
  </sheetViews>
  <sheetFormatPr defaultColWidth="8.7109375" defaultRowHeight="15" x14ac:dyDescent="0.25"/>
  <cols>
    <col min="1" max="1" width="44" customWidth="1"/>
    <col min="2" max="2" width="32" customWidth="1"/>
    <col min="3" max="3" width="36" customWidth="1"/>
    <col min="4" max="4" width="20" customWidth="1"/>
    <col min="5" max="5" width="14" customWidth="1"/>
  </cols>
  <sheetData>
    <row r="1" spans="1:4" ht="20.25" x14ac:dyDescent="0.3">
      <c r="A1" s="2" t="s">
        <v>178</v>
      </c>
    </row>
    <row r="2" spans="1:4" x14ac:dyDescent="0.25">
      <c r="A2" s="3" t="s">
        <v>179</v>
      </c>
    </row>
    <row r="4" spans="1:4" ht="31.5" customHeight="1" x14ac:dyDescent="0.25">
      <c r="A4" s="8" t="s">
        <v>180</v>
      </c>
      <c r="B4" s="8" t="s">
        <v>181</v>
      </c>
      <c r="C4" s="8" t="s">
        <v>135</v>
      </c>
      <c r="D4" s="8" t="s">
        <v>182</v>
      </c>
    </row>
    <row r="5" spans="1:4" x14ac:dyDescent="0.25">
      <c r="A5" s="41" t="s">
        <v>183</v>
      </c>
      <c r="B5" s="33" t="s">
        <v>184</v>
      </c>
      <c r="C5" s="33" t="s">
        <v>185</v>
      </c>
      <c r="D5" s="42">
        <f>'Monthly Operations'!$D$17*$D$17</f>
        <v>149571450</v>
      </c>
    </row>
    <row r="6" spans="1:4" x14ac:dyDescent="0.25">
      <c r="A6" s="41" t="s">
        <v>186</v>
      </c>
      <c r="B6" s="33" t="s">
        <v>187</v>
      </c>
      <c r="C6" s="33" t="s">
        <v>188</v>
      </c>
      <c r="D6" s="42">
        <f>'Monthly Operations'!$E$17*$D$18</f>
        <v>229392000</v>
      </c>
    </row>
    <row r="7" spans="1:4" x14ac:dyDescent="0.25">
      <c r="A7" s="24" t="s">
        <v>189</v>
      </c>
      <c r="B7" s="33" t="s">
        <v>145</v>
      </c>
      <c r="C7" s="33" t="s">
        <v>190</v>
      </c>
      <c r="D7" s="43">
        <f>D5+D6</f>
        <v>378963450</v>
      </c>
    </row>
    <row r="8" spans="1:4" x14ac:dyDescent="0.25">
      <c r="A8" s="41" t="s">
        <v>191</v>
      </c>
      <c r="B8" s="33" t="s">
        <v>192</v>
      </c>
      <c r="C8" s="33" t="s">
        <v>193</v>
      </c>
      <c r="D8" s="42">
        <f>-'Monthly Operations'!$C$17*$D$19</f>
        <v>-99561600</v>
      </c>
    </row>
    <row r="9" spans="1:4" x14ac:dyDescent="0.25">
      <c r="A9" s="41" t="s">
        <v>194</v>
      </c>
      <c r="B9" s="33" t="s">
        <v>195</v>
      </c>
      <c r="C9" s="33" t="s">
        <v>196</v>
      </c>
      <c r="D9" s="42">
        <f>-$D$20*(Segments!$C$6+Segments!$D$6)</f>
        <v>-7200000</v>
      </c>
    </row>
    <row r="10" spans="1:4" x14ac:dyDescent="0.25">
      <c r="A10" s="41" t="s">
        <v>197</v>
      </c>
      <c r="B10" s="33" t="s">
        <v>198</v>
      </c>
      <c r="C10" s="33" t="s">
        <v>199</v>
      </c>
      <c r="D10" s="42">
        <f>-$D$21</f>
        <v>-3200000</v>
      </c>
    </row>
    <row r="11" spans="1:4" x14ac:dyDescent="0.25">
      <c r="A11" s="24" t="s">
        <v>200</v>
      </c>
      <c r="B11" s="33" t="s">
        <v>201</v>
      </c>
      <c r="C11" s="33" t="s">
        <v>202</v>
      </c>
      <c r="D11" s="31">
        <f>D5+D6+D8+D9+D10</f>
        <v>269001850</v>
      </c>
    </row>
    <row r="17" spans="1:5" x14ac:dyDescent="0.25">
      <c r="A17" s="5" t="s">
        <v>203</v>
      </c>
      <c r="D17" s="44">
        <v>1050</v>
      </c>
    </row>
    <row r="18" spans="1:5" x14ac:dyDescent="0.25">
      <c r="A18" s="5" t="s">
        <v>204</v>
      </c>
      <c r="D18" s="44">
        <v>1350</v>
      </c>
    </row>
    <row r="19" spans="1:5" x14ac:dyDescent="0.25">
      <c r="A19" s="5" t="s">
        <v>205</v>
      </c>
      <c r="D19" s="44">
        <v>300</v>
      </c>
    </row>
    <row r="20" spans="1:5" x14ac:dyDescent="0.25">
      <c r="A20" s="5" t="s">
        <v>206</v>
      </c>
      <c r="D20" s="44">
        <v>180000</v>
      </c>
    </row>
    <row r="21" spans="1:5" x14ac:dyDescent="0.25">
      <c r="A21" s="5" t="s">
        <v>207</v>
      </c>
      <c r="D21" s="44">
        <v>3200000</v>
      </c>
    </row>
    <row r="24" spans="1:5" x14ac:dyDescent="0.25">
      <c r="A24" s="36" t="s">
        <v>208</v>
      </c>
      <c r="B24" s="36"/>
      <c r="C24" s="36"/>
      <c r="D24" s="36"/>
    </row>
    <row r="25" spans="1:5" x14ac:dyDescent="0.25">
      <c r="A25" s="4" t="s">
        <v>209</v>
      </c>
      <c r="D25" s="45">
        <f>'Monthly Operations'!G17</f>
        <v>269000912</v>
      </c>
    </row>
    <row r="26" spans="1:5" x14ac:dyDescent="0.25">
      <c r="A26" s="4" t="s">
        <v>210</v>
      </c>
      <c r="D26" s="45">
        <f>D11</f>
        <v>269001850</v>
      </c>
    </row>
    <row r="27" spans="1:5" x14ac:dyDescent="0.25">
      <c r="A27" s="4" t="s">
        <v>174</v>
      </c>
      <c r="D27" s="46">
        <f>D25-D26</f>
        <v>-938</v>
      </c>
    </row>
    <row r="29" spans="1:5" x14ac:dyDescent="0.25">
      <c r="A29" s="4" t="s">
        <v>211</v>
      </c>
      <c r="D29" s="40">
        <f>D11/D7</f>
        <v>0.70983586939584808</v>
      </c>
    </row>
    <row r="30" spans="1:5" x14ac:dyDescent="0.25">
      <c r="A30" s="4" t="s">
        <v>212</v>
      </c>
      <c r="D30" s="45">
        <f>Segments!$E$17</f>
        <v>74200000</v>
      </c>
    </row>
    <row r="31" spans="1:5" x14ac:dyDescent="0.25">
      <c r="A31" s="4" t="s">
        <v>213</v>
      </c>
      <c r="D31" s="47">
        <f>D30/D11*12</f>
        <v>3.3100144106815623</v>
      </c>
      <c r="E31" s="9" t="s">
        <v>214</v>
      </c>
    </row>
    <row r="34" spans="1:5" x14ac:dyDescent="0.25">
      <c r="A34" s="36" t="s">
        <v>215</v>
      </c>
      <c r="B34" s="36"/>
      <c r="C34" s="36"/>
      <c r="D34" s="36"/>
    </row>
    <row r="35" spans="1:5" x14ac:dyDescent="0.25">
      <c r="A35" s="5" t="s">
        <v>216</v>
      </c>
      <c r="D35" s="48">
        <v>8.5</v>
      </c>
      <c r="E35" s="9" t="s">
        <v>217</v>
      </c>
    </row>
    <row r="36" spans="1:5" x14ac:dyDescent="0.25">
      <c r="A36" s="5" t="s">
        <v>218</v>
      </c>
      <c r="D36" s="49">
        <v>1580</v>
      </c>
      <c r="E36" s="9" t="s">
        <v>219</v>
      </c>
    </row>
    <row r="37" spans="1:5" x14ac:dyDescent="0.25">
      <c r="A37" s="5" t="s">
        <v>220</v>
      </c>
      <c r="D37" s="37">
        <f>'Emissions Calculation'!D14</f>
        <v>78.537771120000059</v>
      </c>
      <c r="E37" s="9" t="s">
        <v>167</v>
      </c>
    </row>
    <row r="38" spans="1:5" x14ac:dyDescent="0.25">
      <c r="A38" s="4" t="s">
        <v>221</v>
      </c>
      <c r="D38" s="50">
        <f>D37*D35*D36</f>
        <v>1054762.2661416009</v>
      </c>
    </row>
    <row r="39" spans="1:5" x14ac:dyDescent="0.25">
      <c r="A39" s="4" t="s">
        <v>222</v>
      </c>
      <c r="D39" s="51">
        <f>D38/D11</f>
        <v>3.9210223503726863E-3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5C3A"/>
  </sheetPr>
  <dimension ref="A1:D16"/>
  <sheetViews>
    <sheetView showGridLines="0" zoomScaleNormal="100" workbookViewId="0"/>
  </sheetViews>
  <sheetFormatPr defaultColWidth="8.7109375" defaultRowHeight="15" x14ac:dyDescent="0.25"/>
  <cols>
    <col min="1" max="1" width="22" customWidth="1"/>
    <col min="2" max="2" width="38" customWidth="1"/>
    <col min="3" max="4" width="22" customWidth="1"/>
  </cols>
  <sheetData>
    <row r="1" spans="1:4" ht="20.25" x14ac:dyDescent="0.3">
      <c r="A1" s="2" t="s">
        <v>304</v>
      </c>
    </row>
    <row r="2" spans="1:4" x14ac:dyDescent="0.25">
      <c r="A2" s="3" t="s">
        <v>223</v>
      </c>
    </row>
    <row r="4" spans="1:4" ht="31.5" customHeight="1" x14ac:dyDescent="0.25">
      <c r="A4" s="8" t="s">
        <v>224</v>
      </c>
      <c r="B4" s="8" t="s">
        <v>225</v>
      </c>
      <c r="C4" s="8" t="s">
        <v>226</v>
      </c>
      <c r="D4" s="8" t="s">
        <v>227</v>
      </c>
    </row>
    <row r="5" spans="1:4" x14ac:dyDescent="0.25">
      <c r="A5" s="14">
        <v>5.0000000000000001E-3</v>
      </c>
      <c r="B5" s="33" t="s">
        <v>228</v>
      </c>
      <c r="C5" s="52">
        <v>135.4</v>
      </c>
      <c r="D5" s="53">
        <v>0.72</v>
      </c>
    </row>
    <row r="6" spans="1:4" x14ac:dyDescent="0.25">
      <c r="A6" s="14">
        <v>0.01</v>
      </c>
      <c r="B6" s="33" t="s">
        <v>229</v>
      </c>
      <c r="C6" s="52">
        <v>106.97</v>
      </c>
      <c r="D6" s="53">
        <v>0.36</v>
      </c>
    </row>
    <row r="7" spans="1:4" x14ac:dyDescent="0.25">
      <c r="A7" s="14">
        <v>1.4999999999999999E-2</v>
      </c>
      <c r="B7" s="33" t="s">
        <v>230</v>
      </c>
      <c r="C7" s="30">
        <v>78.540000000000006</v>
      </c>
      <c r="D7" s="54">
        <v>0</v>
      </c>
    </row>
    <row r="8" spans="1:4" x14ac:dyDescent="0.25">
      <c r="A8" s="14">
        <v>2.5000000000000001E-2</v>
      </c>
      <c r="B8" s="33" t="s">
        <v>231</v>
      </c>
      <c r="C8" s="52">
        <v>21.67</v>
      </c>
      <c r="D8" s="53">
        <v>-0.72</v>
      </c>
    </row>
    <row r="9" spans="1:4" x14ac:dyDescent="0.25">
      <c r="A9" s="14">
        <v>0.03</v>
      </c>
      <c r="B9" s="33" t="s">
        <v>232</v>
      </c>
      <c r="C9" s="52">
        <v>-6.77</v>
      </c>
      <c r="D9" s="53">
        <v>-1.0900000000000001</v>
      </c>
    </row>
    <row r="12" spans="1:4" ht="15" customHeight="1" x14ac:dyDescent="0.25">
      <c r="A12" s="1" t="s">
        <v>233</v>
      </c>
      <c r="B12" s="1"/>
      <c r="C12" s="1"/>
      <c r="D12" s="1"/>
    </row>
    <row r="13" spans="1:4" x14ac:dyDescent="0.25">
      <c r="A13" s="1"/>
      <c r="B13" s="1"/>
      <c r="C13" s="1"/>
      <c r="D13" s="1"/>
    </row>
    <row r="14" spans="1:4" x14ac:dyDescent="0.25">
      <c r="A14" s="1"/>
      <c r="B14" s="1"/>
      <c r="C14" s="1"/>
      <c r="D14" s="1"/>
    </row>
    <row r="15" spans="1:4" x14ac:dyDescent="0.25">
      <c r="A15" s="1"/>
      <c r="B15" s="1"/>
      <c r="C15" s="1"/>
      <c r="D15" s="1"/>
    </row>
    <row r="16" spans="1:4" x14ac:dyDescent="0.25">
      <c r="A16" s="1"/>
      <c r="B16" s="1"/>
      <c r="C16" s="1"/>
      <c r="D16" s="1"/>
    </row>
  </sheetData>
  <mergeCells count="1">
    <mergeCell ref="A12:D1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5C3A"/>
  </sheetPr>
  <dimension ref="A1:D18"/>
  <sheetViews>
    <sheetView showGridLines="0" zoomScaleNormal="100" workbookViewId="0"/>
  </sheetViews>
  <sheetFormatPr defaultColWidth="8.7109375" defaultRowHeight="15" x14ac:dyDescent="0.25"/>
  <cols>
    <col min="1" max="1" width="30" customWidth="1"/>
    <col min="2" max="2" width="50" customWidth="1"/>
    <col min="3" max="3" width="20" customWidth="1"/>
    <col min="4" max="4" width="14" customWidth="1"/>
  </cols>
  <sheetData>
    <row r="1" spans="1:4" ht="20.25" x14ac:dyDescent="0.3">
      <c r="A1" s="2" t="s">
        <v>305</v>
      </c>
    </row>
    <row r="2" spans="1:4" x14ac:dyDescent="0.25">
      <c r="A2" s="3" t="s">
        <v>234</v>
      </c>
    </row>
    <row r="4" spans="1:4" ht="31.5" customHeight="1" x14ac:dyDescent="0.25">
      <c r="A4" s="8" t="s">
        <v>235</v>
      </c>
      <c r="B4" s="8" t="s">
        <v>236</v>
      </c>
      <c r="C4" s="8" t="s">
        <v>237</v>
      </c>
      <c r="D4" s="8" t="s">
        <v>40</v>
      </c>
    </row>
    <row r="5" spans="1:4" x14ac:dyDescent="0.25">
      <c r="A5" s="24" t="s">
        <v>238</v>
      </c>
      <c r="B5" s="41" t="s">
        <v>239</v>
      </c>
      <c r="C5" s="26">
        <v>78.540000000000006</v>
      </c>
      <c r="D5" s="28" t="s">
        <v>240</v>
      </c>
    </row>
    <row r="6" spans="1:4" x14ac:dyDescent="0.25">
      <c r="A6" s="24" t="s">
        <v>238</v>
      </c>
      <c r="B6" s="41" t="s">
        <v>241</v>
      </c>
      <c r="C6" s="25">
        <v>46962</v>
      </c>
      <c r="D6" s="28" t="s">
        <v>242</v>
      </c>
    </row>
    <row r="7" spans="1:4" x14ac:dyDescent="0.25">
      <c r="A7" s="24" t="s">
        <v>243</v>
      </c>
      <c r="B7" s="41" t="s">
        <v>244</v>
      </c>
      <c r="C7" s="26">
        <v>78.540000000000006</v>
      </c>
      <c r="D7" s="28" t="s">
        <v>167</v>
      </c>
    </row>
    <row r="8" spans="1:4" x14ac:dyDescent="0.25">
      <c r="A8" s="24" t="s">
        <v>243</v>
      </c>
      <c r="B8" s="41" t="s">
        <v>245</v>
      </c>
      <c r="C8" s="25">
        <v>46962</v>
      </c>
      <c r="D8" s="28" t="s">
        <v>242</v>
      </c>
    </row>
    <row r="9" spans="1:4" x14ac:dyDescent="0.25">
      <c r="A9" s="24" t="s">
        <v>246</v>
      </c>
      <c r="B9" s="41" t="s">
        <v>247</v>
      </c>
      <c r="C9" s="25">
        <v>40</v>
      </c>
      <c r="D9" s="28" t="s">
        <v>48</v>
      </c>
    </row>
    <row r="10" spans="1:4" x14ac:dyDescent="0.25">
      <c r="A10" s="24" t="s">
        <v>246</v>
      </c>
      <c r="B10" s="41" t="s">
        <v>248</v>
      </c>
      <c r="C10" s="25">
        <v>170254</v>
      </c>
      <c r="D10" s="28" t="s">
        <v>242</v>
      </c>
    </row>
    <row r="11" spans="1:4" x14ac:dyDescent="0.25">
      <c r="A11" s="24" t="s">
        <v>249</v>
      </c>
      <c r="B11" s="41" t="s">
        <v>250</v>
      </c>
      <c r="C11" s="25">
        <v>40</v>
      </c>
      <c r="D11" s="28" t="s">
        <v>48</v>
      </c>
    </row>
    <row r="12" spans="1:4" x14ac:dyDescent="0.25">
      <c r="A12" s="24" t="s">
        <v>249</v>
      </c>
      <c r="B12" s="41" t="s">
        <v>251</v>
      </c>
      <c r="C12" s="25">
        <v>312368</v>
      </c>
      <c r="D12" s="28" t="s">
        <v>65</v>
      </c>
    </row>
    <row r="13" spans="1:4" x14ac:dyDescent="0.25">
      <c r="A13" s="24" t="s">
        <v>252</v>
      </c>
      <c r="B13" s="41" t="s">
        <v>253</v>
      </c>
      <c r="C13" s="26">
        <v>78.540000000000006</v>
      </c>
      <c r="D13" s="28" t="s">
        <v>167</v>
      </c>
    </row>
    <row r="15" spans="1:4" ht="15" customHeight="1" x14ac:dyDescent="0.25">
      <c r="A15" s="1" t="s">
        <v>254</v>
      </c>
      <c r="B15" s="1"/>
      <c r="C15" s="1"/>
      <c r="D15" s="1"/>
    </row>
    <row r="16" spans="1:4" x14ac:dyDescent="0.25">
      <c r="A16" s="1"/>
      <c r="B16" s="1"/>
      <c r="C16" s="1"/>
      <c r="D16" s="1"/>
    </row>
    <row r="17" spans="1:4" x14ac:dyDescent="0.25">
      <c r="A17" s="1"/>
      <c r="B17" s="1"/>
      <c r="C17" s="1"/>
      <c r="D17" s="1"/>
    </row>
    <row r="18" spans="1:4" x14ac:dyDescent="0.25">
      <c r="A18" s="1"/>
      <c r="B18" s="1"/>
      <c r="C18" s="1"/>
      <c r="D18" s="1"/>
    </row>
  </sheetData>
  <mergeCells count="1">
    <mergeCell ref="A15:D1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5C3A"/>
  </sheetPr>
  <dimension ref="A1:D19"/>
  <sheetViews>
    <sheetView showGridLines="0" tabSelected="1" zoomScaleNormal="100" workbookViewId="0">
      <selection activeCell="H6" sqref="H6"/>
    </sheetView>
  </sheetViews>
  <sheetFormatPr defaultColWidth="8.7109375" defaultRowHeight="15" x14ac:dyDescent="0.25"/>
  <cols>
    <col min="1" max="1" width="24" customWidth="1"/>
    <col min="2" max="2" width="38" customWidth="1"/>
    <col min="3" max="3" width="46" customWidth="1"/>
    <col min="4" max="4" width="18" customWidth="1"/>
  </cols>
  <sheetData>
    <row r="1" spans="1:4" ht="20.25" x14ac:dyDescent="0.3">
      <c r="A1" s="2" t="s">
        <v>255</v>
      </c>
    </row>
    <row r="2" spans="1:4" x14ac:dyDescent="0.25">
      <c r="A2" s="3" t="s">
        <v>256</v>
      </c>
    </row>
    <row r="4" spans="1:4" ht="43.5" customHeight="1" x14ac:dyDescent="0.25">
      <c r="A4" s="8" t="s">
        <v>257</v>
      </c>
      <c r="B4" s="8" t="s">
        <v>258</v>
      </c>
      <c r="C4" s="8" t="s">
        <v>259</v>
      </c>
      <c r="D4" s="8" t="s">
        <v>260</v>
      </c>
    </row>
    <row r="5" spans="1:4" ht="42" customHeight="1" x14ac:dyDescent="0.25">
      <c r="A5" s="24" t="s">
        <v>261</v>
      </c>
      <c r="B5" s="55" t="s">
        <v>262</v>
      </c>
      <c r="C5" s="55" t="s">
        <v>263</v>
      </c>
      <c r="D5" s="55" t="s">
        <v>264</v>
      </c>
    </row>
    <row r="6" spans="1:4" ht="42" customHeight="1" x14ac:dyDescent="0.25">
      <c r="A6" s="24" t="s">
        <v>265</v>
      </c>
      <c r="B6" s="55" t="s">
        <v>266</v>
      </c>
      <c r="C6" s="55" t="s">
        <v>267</v>
      </c>
      <c r="D6" s="55" t="s">
        <v>268</v>
      </c>
    </row>
    <row r="7" spans="1:4" ht="42" customHeight="1" x14ac:dyDescent="0.25">
      <c r="A7" s="24" t="s">
        <v>269</v>
      </c>
      <c r="B7" s="55" t="s">
        <v>270</v>
      </c>
      <c r="C7" s="55" t="s">
        <v>271</v>
      </c>
      <c r="D7" s="55" t="s">
        <v>272</v>
      </c>
    </row>
    <row r="8" spans="1:4" ht="42" customHeight="1" x14ac:dyDescent="0.25">
      <c r="A8" s="24" t="s">
        <v>273</v>
      </c>
      <c r="B8" s="55" t="s">
        <v>274</v>
      </c>
      <c r="C8" s="55" t="s">
        <v>275</v>
      </c>
      <c r="D8" s="55" t="s">
        <v>276</v>
      </c>
    </row>
    <row r="9" spans="1:4" ht="42" customHeight="1" x14ac:dyDescent="0.25">
      <c r="A9" s="24" t="s">
        <v>277</v>
      </c>
      <c r="B9" s="55" t="s">
        <v>278</v>
      </c>
      <c r="C9" s="55" t="s">
        <v>279</v>
      </c>
      <c r="D9" s="55" t="s">
        <v>280</v>
      </c>
    </row>
    <row r="10" spans="1:4" ht="42" customHeight="1" x14ac:dyDescent="0.25">
      <c r="A10" s="24" t="s">
        <v>281</v>
      </c>
      <c r="B10" s="55" t="s">
        <v>282</v>
      </c>
      <c r="C10" s="55" t="s">
        <v>283</v>
      </c>
      <c r="D10" s="55" t="s">
        <v>284</v>
      </c>
    </row>
    <row r="11" spans="1:4" ht="42" customHeight="1" x14ac:dyDescent="0.25">
      <c r="A11" s="24" t="s">
        <v>285</v>
      </c>
      <c r="B11" s="55" t="s">
        <v>286</v>
      </c>
      <c r="C11" s="55" t="s">
        <v>287</v>
      </c>
      <c r="D11" s="55" t="s">
        <v>280</v>
      </c>
    </row>
    <row r="12" spans="1:4" ht="42" customHeight="1" x14ac:dyDescent="0.25">
      <c r="A12" s="24" t="s">
        <v>288</v>
      </c>
      <c r="B12" s="55" t="s">
        <v>289</v>
      </c>
      <c r="C12" s="55" t="s">
        <v>290</v>
      </c>
      <c r="D12" s="55" t="s">
        <v>280</v>
      </c>
    </row>
    <row r="15" spans="1:4" ht="15" customHeight="1" x14ac:dyDescent="0.25">
      <c r="A15" s="1" t="s">
        <v>291</v>
      </c>
      <c r="B15" s="1"/>
      <c r="C15" s="1"/>
      <c r="D15" s="1"/>
    </row>
    <row r="16" spans="1:4" x14ac:dyDescent="0.25">
      <c r="A16" s="1"/>
      <c r="B16" s="1"/>
      <c r="C16" s="1"/>
      <c r="D16" s="1"/>
    </row>
    <row r="17" spans="1:4" x14ac:dyDescent="0.25">
      <c r="A17" s="1"/>
      <c r="B17" s="1"/>
      <c r="C17" s="1"/>
      <c r="D17" s="1"/>
    </row>
    <row r="18" spans="1:4" x14ac:dyDescent="0.25">
      <c r="A18" s="1"/>
      <c r="B18" s="1"/>
      <c r="C18" s="1"/>
      <c r="D18" s="1"/>
    </row>
    <row r="19" spans="1:4" x14ac:dyDescent="0.25">
      <c r="A19" s="1"/>
      <c r="B19" s="1"/>
      <c r="C19" s="1"/>
      <c r="D19" s="1"/>
    </row>
  </sheetData>
  <mergeCells count="1">
    <mergeCell ref="A15:D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Segments</vt:lpstr>
      <vt:lpstr>Emission Factors</vt:lpstr>
      <vt:lpstr>Monthly Operations</vt:lpstr>
      <vt:lpstr>Emissions Calculation</vt:lpstr>
      <vt:lpstr>Financial Summary</vt:lpstr>
      <vt:lpstr>Sensitivity</vt:lpstr>
      <vt:lpstr>DFI Indicators</vt:lpstr>
      <vt:lpstr>Data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Zayyad Yusuf</cp:lastModifiedBy>
  <cp:revision>0</cp:revision>
  <dcterms:created xsi:type="dcterms:W3CDTF">2026-09-16T11:14:45Z</dcterms:created>
  <dcterms:modified xsi:type="dcterms:W3CDTF">2026-09-16T11:34:36Z</dcterms:modified>
  <dc:language>en-US</dc:language>
</cp:coreProperties>
</file>